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abaccca2044b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運営ダッシュボード" sheetId="1" r:id="Ra922ed3b6ced4ba1"/>
    <x:sheet xmlns:r="http://schemas.openxmlformats.org/officeDocument/2006/relationships" name="検索意図マスター" sheetId="2" r:id="R2983d8ecfa174add"/>
    <x:sheet xmlns:r="http://schemas.openxmlformats.org/officeDocument/2006/relationships" name="スコア基準" sheetId="3" r:id="Raac9221d70014ebb"/>
    <x:sheet xmlns:r="http://schemas.openxmlformats.org/officeDocument/2006/relationships" name="GSC原データ" sheetId="4" r:id="R5e3af3488a6a4648"/>
    <x:sheet xmlns:r="http://schemas.openxmlformats.org/officeDocument/2006/relationships" name="恒久編集ルール" sheetId="5" r:id="R4f9f7d1e2cb84069"/>
    <x:sheet xmlns:r="http://schemas.openxmlformats.org/officeDocument/2006/relationships" name="Priority監査 2026-08-15" sheetId="6" r:id="R0a23aa172b6b4c40"/>
    <x:sheet xmlns:r="http://schemas.openxmlformats.org/officeDocument/2006/relationships" name="画像Asset制作キュー" sheetId="7" r:id="R9ed5d554de68449d"/>
    <x:sheet xmlns:r="http://schemas.openxmlformats.org/officeDocument/2006/relationships" name="公開履歴" sheetId="8" r:id="R07f88edc0dde44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yyyy-mm-dd"/>
    <x:numFmt numFmtId="202" formatCode="#,##0.0"/>
    <x:numFmt numFmtId="203" formatCode="0.0"/>
  </x:numFmts>
  <x:fonts count="11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101820"/>
      <x:name val="Carlito"/>
    </x:font>
    <x:font>
      <x:b/>
      <x:sz val="11"/>
      <x:color rgb="FF1E7A4D"/>
      <x:name val="Carlito"/>
    </x:font>
    <x:font>
      <x:b/>
      <x:sz val="11"/>
      <x:color rgb="FF1D4E89"/>
      <x:name val="Carlito"/>
    </x:font>
    <x:font>
      <x:i/>
      <x:sz val="11"/>
      <x:color rgb="FF7A5610"/>
      <x:name val="Carlito"/>
    </x:font>
    <x:font>
      <x:b/>
      <x:sz val="16"/>
      <x:color rgb="FFFFFFFF"/>
      <x:name val="Carlito"/>
    </x:font>
    <x:font>
      <x:b/>
      <x:sz val="11"/>
      <x:color rgb="FF7A5610"/>
      <x:name val="Carlito"/>
    </x:font>
    <x:font>
      <x:b/>
      <x:sz val="15"/>
      <x:color rgb="FFFFFFFF"/>
      <x:name val="Carlito"/>
    </x:font>
    <x:font>
      <x:b/>
      <x:sz val="11"/>
      <x:color rgb="FF8A1C1C"/>
      <x:name val="Carlito"/>
    </x:font>
  </x:fonts>
  <x:fills count="35">
    <x:fill>
      <x:patternFill patternType="none"/>
    </x:fill>
    <x:fill>
      <x:patternFill patternType="gray125"/>
    </x:fill>
    <x:fill>
      <x:patternFill patternType="solid">
        <x:fgColor rgb="FF101820"/>
      </x:patternFill>
    </x:fill>
    <x:fill>
      <x:patternFill patternType="solid">
        <x:fgColor rgb="FF1D4E89"/>
      </x:patternFill>
    </x:fill>
    <x:fill>
      <x:patternFill patternType="solid">
        <x:fgColor rgb="FFDCEAF7"/>
      </x:patternFill>
    </x:fill>
    <x:fill>
      <x:patternFill patternType="solid">
        <x:fgColor rgb="FFEAF4EE"/>
      </x:patternFill>
    </x:fill>
    <x:fill>
      <x:patternFill patternType="solid">
        <x:fgColor rgb="FFFFF7E6"/>
      </x:patternFill>
    </x:fill>
    <x:fill>
      <x:patternFill patternType="solid">
        <x:fgColor rgb="FF101820"/>
      </x:patternFill>
    </x:fill>
    <x:fill>
      <x:patternFill patternType="solid">
        <x:fgColor rgb="FFDCEAF7"/>
      </x:patternFill>
    </x:fill>
    <x:fill>
      <x:patternFill patternType="solid">
        <x:fgColor rgb="FFFFF7E6"/>
      </x:patternFill>
    </x:fill>
    <x:fill>
      <x:patternFill patternType="solid">
        <x:fgColor rgb="FF1D4E89"/>
      </x:patternFill>
    </x:fill>
    <x:fill>
      <x:patternFill patternType="solid">
        <x:fgColor rgb="FFEAF4EE"/>
      </x:patternFill>
    </x:fill>
    <x:fill>
      <x:patternFill patternType="solid">
        <x:fgColor rgb="FF101820"/>
      </x:patternFill>
    </x:fill>
    <x:fill>
      <x:patternFill patternType="solid">
        <x:fgColor rgb="FFDCEAF7"/>
      </x:patternFill>
    </x:fill>
    <x:fill>
      <x:patternFill patternType="solid">
        <x:fgColor rgb="FFFFF7E6"/>
      </x:patternFill>
    </x:fill>
    <x:fill>
      <x:patternFill patternType="solid">
        <x:fgColor rgb="FF1D4E89"/>
      </x:patternFill>
    </x:fill>
    <x:fill>
      <x:patternFill patternType="solid">
        <x:fgColor rgb="FFEAF4EE"/>
      </x:patternFill>
    </x:fill>
    <x:fill>
      <x:patternFill patternType="solid">
        <x:fgColor rgb="FF101820"/>
      </x:patternFill>
    </x:fill>
    <x:fill>
      <x:patternFill patternType="solid">
        <x:fgColor rgb="FFDCEAF7"/>
      </x:patternFill>
    </x:fill>
    <x:fill>
      <x:patternFill patternType="solid">
        <x:fgColor rgb="FFFFF7E6"/>
      </x:patternFill>
    </x:fill>
    <x:fill>
      <x:patternFill patternType="solid">
        <x:fgColor rgb="FF1D4E89"/>
      </x:patternFill>
    </x:fill>
    <x:fill>
      <x:patternFill patternType="solid">
        <x:fgColor rgb="FFEAF4EE"/>
      </x:patternFill>
    </x:fill>
    <x:fill>
      <x:patternFill patternType="solid">
        <x:fgColor rgb="FF101820"/>
      </x:patternFill>
    </x:fill>
    <x:fill>
      <x:patternFill patternType="solid">
        <x:fgColor rgb="FF1D4E89"/>
      </x:patternFill>
    </x:fill>
    <x:fill>
      <x:patternFill patternType="solid">
        <x:fgColor rgb="FFDCEAF7"/>
      </x:patternFill>
    </x:fill>
    <x:fill>
      <x:patternFill patternType="solid">
        <x:fgColor rgb="FFFFF7E6"/>
      </x:patternFill>
    </x:fill>
    <x:fill>
      <x:patternFill patternType="solid">
        <x:fgColor rgb="FF101820"/>
      </x:patternFill>
    </x:fill>
    <x:fill>
      <x:patternFill patternType="solid">
        <x:fgColor rgb="FF101820"/>
      </x:patternFill>
    </x:fill>
    <x:fill>
      <x:patternFill patternType="solid">
        <x:fgColor rgb="FFFFF7E6"/>
      </x:patternFill>
    </x:fill>
    <x:fill>
      <x:patternFill patternType="solid">
        <x:fgColor rgb="FF1D4E89"/>
      </x:patternFill>
    </x:fill>
    <x:fill>
      <x:patternFill patternType="solid">
        <x:fgColor rgb="FF101820"/>
      </x:patternFill>
    </x:fill>
    <x:fill>
      <x:patternFill patternType="solid">
        <x:fgColor rgb="FFFFF1F1"/>
      </x:patternFill>
    </x:fill>
    <x:fill>
      <x:patternFill patternType="solid">
        <x:fgColor rgb="FF1D4E89"/>
      </x:patternFill>
    </x:fill>
    <x:fill>
      <x:patternFill patternType="solid">
        <x:fgColor rgb="FFE9F6EE"/>
      </x:patternFill>
    </x:fill>
    <x:fill>
      <x:patternFill patternType="solid">
        <x:fgColor rgb="FF1D4E89"/>
      </x:patternFill>
    </x:fill>
  </x:fills>
  <x:borders count="30">
    <x:border/>
    <x:border>
      <x:right style="thin">
        <x:color rgb="FFD5DEE8"/>
      </x:right>
      <x:bottom style="thin">
        <x:color rgb="FFD5DEE8"/>
      </x:bottom>
    </x:border>
    <x:border>
      <x:left style="thin">
        <x:color rgb="FFD5DEE8"/>
      </x:left>
      <x:right style="thin">
        <x:color rgb="FFD5DEE8"/>
      </x:right>
      <x:bottom style="thin">
        <x:color rgb="FFD5DEE8"/>
      </x:bottom>
    </x:border>
    <x:border>
      <x:left style="thin">
        <x:color rgb="FFD5DEE8"/>
      </x:left>
      <x:bottom style="thin">
        <x:color rgb="FFD5DEE8"/>
      </x:bottom>
    </x:border>
    <x:border>
      <x:right style="thin">
        <x:color rgb="FFD5DEE8"/>
      </x:right>
      <x:top style="thin">
        <x:color rgb="FFD5DEE8"/>
      </x:top>
      <x:bottom style="thin">
        <x:color rgb="FFD5DEE8"/>
      </x:bottom>
    </x:border>
    <x:border>
      <x:left style="thin">
        <x:color rgb="FFD5DEE8"/>
      </x:left>
      <x:right style="thin">
        <x:color rgb="FFD5DEE8"/>
      </x:right>
      <x:top style="thin">
        <x:color rgb="FFD5DEE8"/>
      </x:top>
      <x:bottom style="thin">
        <x:color rgb="FFD5DEE8"/>
      </x:bottom>
    </x:border>
    <x:border>
      <x:left style="thin">
        <x:color rgb="FFD5DEE8"/>
      </x:left>
      <x:top style="thin">
        <x:color rgb="FFD5DEE8"/>
      </x:top>
      <x:bottom style="thin">
        <x:color rgb="FFD5DEE8"/>
      </x:bottom>
    </x:border>
    <x:border>
      <x:right style="thin">
        <x:color rgb="FFD5DEE8"/>
      </x:right>
      <x:top style="thin">
        <x:color rgb="FFD5DEE8"/>
      </x:top>
    </x:border>
    <x:border>
      <x:left style="thin">
        <x:color rgb="FFD5DEE8"/>
      </x:left>
      <x:right style="thin">
        <x:color rgb="FFD5DEE8"/>
      </x:right>
      <x:top style="thin">
        <x:color rgb="FFD5DEE8"/>
      </x:top>
    </x:border>
    <x:border>
      <x:left style="thin">
        <x:color rgb="FFD5DEE8"/>
      </x:left>
      <x:top style="thin">
        <x:color rgb="FFD5DEE8"/>
      </x:top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  <x:border>
      <x:right style="thin">
        <x:color rgb="FFE1E8F0"/>
      </x:right>
      <x:bottom style="thin">
        <x:color rgb="FFE1E8F0"/>
      </x:bottom>
    </x:border>
    <x:border>
      <x:left style="thin">
        <x:color rgb="FFE1E8F0"/>
      </x:left>
      <x:right style="thin">
        <x:color rgb="FFE1E8F0"/>
      </x:right>
      <x:bottom style="thin">
        <x:color rgb="FFE1E8F0"/>
      </x:bottom>
    </x:border>
    <x:border>
      <x:left style="thin">
        <x:color rgb="FFE1E8F0"/>
      </x:left>
      <x:bottom style="thin">
        <x:color rgb="FFE1E8F0"/>
      </x:bottom>
    </x:border>
    <x:border>
      <x:right style="thin">
        <x:color rgb="FFE1E8F0"/>
      </x:right>
      <x:top style="thin">
        <x:color rgb="FFE1E8F0"/>
      </x:top>
      <x:bottom style="thin">
        <x:color rgb="FFE1E8F0"/>
      </x:bottom>
    </x:border>
    <x:border>
      <x:left style="thin">
        <x:color rgb="FFE1E8F0"/>
      </x:left>
      <x:right style="thin">
        <x:color rgb="FFE1E8F0"/>
      </x:right>
      <x:top style="thin">
        <x:color rgb="FFE1E8F0"/>
      </x:top>
      <x:bottom style="thin">
        <x:color rgb="FFE1E8F0"/>
      </x:bottom>
    </x:border>
    <x:border>
      <x:left style="thin">
        <x:color rgb="FFE1E8F0"/>
      </x:left>
      <x:top style="thin">
        <x:color rgb="FFE1E8F0"/>
      </x:top>
      <x:bottom style="thin">
        <x:color rgb="FFE1E8F0"/>
      </x:bottom>
    </x:border>
    <x:border>
      <x:right style="thin">
        <x:color rgb="FFE1E8F0"/>
      </x:right>
      <x:top style="thin">
        <x:color rgb="FFE1E8F0"/>
      </x:top>
    </x:border>
    <x:border>
      <x:left style="thin">
        <x:color rgb="FFE1E8F0"/>
      </x:left>
      <x:right style="thin">
        <x:color rgb="FFE1E8F0"/>
      </x:right>
      <x:top style="thin">
        <x:color rgb="FFE1E8F0"/>
      </x:top>
    </x:border>
    <x:border>
      <x:left style="thin">
        <x:color rgb="FFE1E8F0"/>
      </x:left>
      <x:top style="thin">
        <x:color rgb="FFE1E8F0"/>
      </x:top>
    </x:border>
    <x:border>
      <x:right style="thin">
        <x:color rgb="FFD5DEE8"/>
      </x:right>
    </x:border>
    <x:border>
      <x:left style="thin">
        <x:color rgb="FFD5DEE8"/>
      </x:left>
    </x:border>
  </x:borders>
  <x:cellStyleXfs count="1">
    <x:xf numFmtId="0" fontId="0" fillId="0" borderId="0"/>
  </x:cellStyleXfs>
  <x:cellXfs count="2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3" fillId="0" borderId="1" xfId="0" applyNumberFormat="1" applyFont="1" applyFill="1" applyBorder="1"/>
    <x:xf numFmtId="0" fontId="3" fillId="0" borderId="4" xfId="0" applyNumberFormat="1" applyFont="1" applyFill="1" applyBorder="1"/>
    <x:xf numFmtId="0" fontId="3" fillId="0" borderId="7" xfId="0" applyNumberFormat="1" applyFont="1" applyFill="1" applyBorder="1"/>
    <x:xf numFmtId="0" fontId="0" fillId="5" borderId="2" xfId="0" applyNumberFormat="1" applyFont="1" applyFill="1" applyBorder="1"/>
    <x:xf numFmtId="0" fontId="0" fillId="5" borderId="5" xfId="0" applyNumberFormat="1" applyFont="1" applyFill="1" applyBorder="1"/>
    <x:xf numFmtId="0" fontId="0" fillId="5" borderId="8" xfId="0" applyNumberFormat="1" applyFont="1" applyFill="1" applyBorder="1"/>
    <x:xf numFmtId="0" fontId="4" fillId="5" borderId="2" xfId="0" applyNumberFormat="1" applyFont="1" applyFill="1" applyBorder="1"/>
    <x:xf numFmtId="0" fontId="4" fillId="5" borderId="5" xfId="0" applyNumberFormat="1" applyFont="1" applyFill="1" applyBorder="1"/>
    <x:xf numFmtId="0" fontId="4" fillId="5" borderId="8" xfId="0" applyNumberFormat="1" applyFont="1" applyFill="1" applyBorder="1"/>
    <x:xf numFmtId="200" fontId="4" fillId="5" borderId="2" xfId="0" applyNumberFormat="1" applyFont="1" applyFill="1" applyBorder="1"/>
    <x:xf numFmtId="200" fontId="4" fillId="5" borderId="5" xfId="0" applyNumberFormat="1" applyFont="1" applyFill="1" applyBorder="1"/>
    <x:xf numFmtId="200" fontId="4" fillId="5" borderId="8" xfId="0" applyNumberFormat="1" applyFont="1" applyFill="1" applyBorder="1"/>
    <x:xf numFmtId="200" fontId="4" fillId="5" borderId="2" xfId="0" applyNumberFormat="1" applyFont="1" applyFill="1" applyBorder="1" applyAlignment="1">
      <x:alignment horizontal="center"/>
    </x:xf>
    <x:xf numFmtId="200" fontId="4" fillId="5" borderId="5" xfId="0" applyNumberFormat="1" applyFont="1" applyFill="1" applyBorder="1" applyAlignment="1">
      <x:alignment horizontal="center"/>
    </x:xf>
    <x:xf numFmtId="200" fontId="4" fillId="5" borderId="8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5" fillId="4" borderId="10" xfId="0" applyNumberFormat="1" applyFont="1" applyFill="1" applyBorder="1" applyAlignment="1">
      <x:alignment horizontal="center"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5" fillId="4" borderId="13" xfId="0" applyNumberFormat="1" applyFont="1" applyFill="1" applyBorder="1" applyAlignment="1">
      <x:alignment horizontal="center"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5" fillId="4" borderId="16" xfId="0" applyNumberFormat="1" applyFont="1" applyFill="1" applyBorder="1" applyAlignment="1">
      <x:alignment horizontal="center"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2" fillId="3" borderId="19" xfId="0" applyNumberFormat="1" applyFont="1" applyFill="1" applyBorder="1" applyAlignment="1">
      <x:alignment wrapText="1"/>
    </x:xf>
    <x:xf numFmtId="0" fontId="2" fillId="3" borderId="20" xfId="0" applyNumberFormat="1" applyFont="1" applyFill="1" applyBorder="1" applyAlignment="1">
      <x:alignment wrapText="1"/>
    </x:xf>
    <x:xf numFmtId="0" fontId="2" fillId="3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23" xfId="0" applyNumberFormat="1" applyFont="1" applyFill="1" applyBorder="1"/>
    <x:xf numFmtId="201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200" fontId="0" fillId="0" borderId="26" xfId="0" applyNumberFormat="1" applyFont="1" applyFill="1" applyBorder="1"/>
    <x:xf numFmtId="201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200" fontId="0" fillId="0" borderId="23" xfId="0" applyNumberFormat="1" applyFont="1" applyFill="1" applyBorder="1" applyAlignment="1">
      <x:alignment wrapText="1"/>
    </x:xf>
    <x:xf numFmtId="201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200" fontId="0" fillId="0" borderId="26" xfId="0" applyNumberFormat="1" applyFont="1" applyFill="1" applyBorder="1" applyAlignment="1">
      <x:alignment wrapText="1"/>
    </x:xf>
    <x:xf numFmtId="201" fontId="0" fillId="0" borderId="26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3" fillId="0" borderId="22" xfId="0" applyNumberFormat="1" applyFont="1" applyFill="1" applyBorder="1" applyAlignment="1">
      <x:alignment wrapText="1"/>
    </x:xf>
    <x:xf numFmtId="0" fontId="3" fillId="0" borderId="25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horizontal="center" wrapText="1"/>
    </x:xf>
    <x:xf numFmtId="0" fontId="0" fillId="0" borderId="26" xfId="0" applyNumberFormat="1" applyFont="1" applyFill="1" applyBorder="1" applyAlignment="1">
      <x:alignment horizontal="center" wrapText="1"/>
    </x:xf>
    <x:xf numFmtId="200" fontId="0" fillId="0" borderId="23" xfId="0" applyNumberFormat="1" applyFont="1" applyFill="1" applyBorder="1" applyAlignment="1">
      <x:alignment horizontal="center" wrapText="1"/>
    </x:xf>
    <x:xf numFmtId="200" fontId="0" fillId="0" borderId="26" xfId="0" applyNumberFormat="1" applyFont="1" applyFill="1" applyBorder="1" applyAlignment="1">
      <x:alignment horizontal="center" wrapText="1"/>
    </x:xf>
    <x:xf numFmtId="201" fontId="0" fillId="0" borderId="23" xfId="0" applyNumberFormat="1" applyFont="1" applyFill="1" applyBorder="1" applyAlignment="1">
      <x:alignment horizontal="center" wrapText="1"/>
    </x:xf>
    <x:xf numFmtId="201" fontId="0" fillId="0" borderId="26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0" fillId="4" borderId="5" xfId="0" applyNumberFormat="1" applyFont="1" applyFill="1" applyBorder="1"/>
    <x:xf numFmtId="0" fontId="0" fillId="4" borderId="8" xfId="0" applyNumberFormat="1" applyFont="1" applyFill="1" applyBorder="1"/>
    <x:xf numFmtId="0" fontId="5" fillId="4" borderId="5" xfId="0" applyNumberFormat="1" applyFont="1" applyFill="1" applyBorder="1"/>
    <x:xf numFmtId="0" fontId="5" fillId="4" borderId="8" xfId="0" applyNumberFormat="1" applyFont="1" applyFill="1" applyBorder="1"/>
    <x:xf numFmtId="200" fontId="5" fillId="4" borderId="5" xfId="0" applyNumberFormat="1" applyFont="1" applyFill="1" applyBorder="1"/>
    <x:xf numFmtId="200" fontId="5" fillId="4" borderId="8" xfId="0" applyNumberFormat="1" applyFont="1" applyFill="1" applyBorder="1"/>
    <x:xf numFmtId="200" fontId="5" fillId="4" borderId="5" xfId="0" applyNumberFormat="1" applyFont="1" applyFill="1" applyBorder="1" applyAlignment="1">
      <x:alignment horizontal="center"/>
    </x:xf>
    <x:xf numFmtId="200" fontId="5" fillId="4" borderId="8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5" fillId="4" borderId="4" xfId="0" applyNumberFormat="1" applyFont="1" applyFill="1" applyBorder="1"/>
    <x:xf numFmtId="0" fontId="5" fillId="4" borderId="7" xfId="0" applyNumberFormat="1" applyFont="1" applyFill="1" applyBorder="1"/>
    <x:xf numFmtId="0" fontId="5" fillId="4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5" fillId="4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202" fontId="0" fillId="0" borderId="8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0" fontId="2" fillId="10" borderId="19" xfId="0" applyNumberFormat="1" applyFont="1" applyFill="1" applyBorder="1" applyAlignment="1">
      <x:alignment wrapText="1"/>
    </x:xf>
    <x:xf numFmtId="0" fontId="2" fillId="10" borderId="20" xfId="0" applyNumberFormat="1" applyFont="1" applyFill="1" applyBorder="1" applyAlignment="1">
      <x:alignment wrapText="1"/>
    </x:xf>
    <x:xf numFmtId="0" fontId="2" fillId="10" borderId="21" xfId="0" applyNumberFormat="1" applyFont="1" applyFill="1" applyBorder="1" applyAlignment="1">
      <x:alignment wrapText="1"/>
    </x:xf>
    <x:xf numFmtId="203" fontId="0" fillId="0" borderId="23" xfId="0" applyNumberFormat="1" applyFont="1" applyFill="1" applyBorder="1"/>
    <x:xf numFmtId="203" fontId="0" fillId="0" borderId="26" xfId="0" applyNumberFormat="1" applyFont="1" applyFill="1" applyBorder="1"/>
    <x:xf numFmtId="203" fontId="0" fillId="0" borderId="23" xfId="0" applyNumberFormat="1" applyFont="1" applyFill="1" applyBorder="1" applyAlignment="1">
      <x:alignment wrapText="1"/>
    </x:xf>
    <x:xf numFmtId="203" fontId="0" fillId="0" borderId="26" xfId="0" applyNumberFormat="1" applyFont="1" applyFill="1" applyBorder="1" applyAlignment="1">
      <x:alignment wrapText="1"/>
    </x:xf>
    <x:xf numFmtId="203" fontId="0" fillId="0" borderId="23" xfId="0" applyNumberFormat="1" applyFont="1" applyFill="1" applyBorder="1" applyAlignment="1">
      <x:alignment horizontal="center" wrapText="1"/>
    </x:xf>
    <x:xf numFmtId="203" fontId="0" fillId="0" borderId="26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/>
    <x:xf numFmtId="0" fontId="3" fillId="8" borderId="1" xfId="0" applyNumberFormat="1" applyFont="1" applyFill="1" applyBorder="1"/>
    <x:xf numFmtId="0" fontId="3" fillId="8" borderId="2" xfId="0" applyNumberFormat="1" applyFont="1" applyFill="1" applyBorder="1"/>
    <x:xf numFmtId="0" fontId="3" fillId="8" borderId="3" xfId="0" applyNumberFormat="1" applyFont="1" applyFill="1" applyBorder="1"/>
    <x:xf numFmtId="0" fontId="0" fillId="11" borderId="5" xfId="0" applyNumberFormat="1" applyFont="1" applyFill="1" applyBorder="1"/>
    <x:xf numFmtId="0" fontId="4" fillId="11" borderId="5" xfId="0" applyNumberFormat="1" applyFont="1" applyFill="1" applyBorder="1"/>
    <x:xf numFmtId="200" fontId="4" fillId="11" borderId="5" xfId="0" applyNumberFormat="1" applyFont="1" applyFill="1" applyBorder="1"/>
    <x:xf numFmtId="200" fontId="4" fillId="11" borderId="5" xfId="0" applyNumberFormat="1" applyFont="1" applyFill="1" applyBorder="1" applyAlignment="1">
      <x:alignment horizontal="center"/>
    </x:xf>
    <x:xf numFmtId="0" fontId="0" fillId="9" borderId="8" xfId="0" applyNumberFormat="1" applyFont="1" applyFill="1" applyBorder="1"/>
    <x:xf numFmtId="0" fontId="8" fillId="9" borderId="8" xfId="0" applyNumberFormat="1" applyFont="1" applyFill="1" applyBorder="1"/>
    <x:xf numFmtId="0" fontId="2" fillId="7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2" fillId="7" borderId="1" xfId="0" applyNumberFormat="1" applyFont="1" applyFill="1" applyBorder="1"/>
    <x:xf numFmtId="0" fontId="2" fillId="7" borderId="2" xfId="0" applyNumberFormat="1" applyFont="1" applyFill="1" applyBorder="1"/>
    <x:xf numFmtId="0" fontId="2" fillId="7" borderId="3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8" borderId="4" xfId="0" applyNumberFormat="1" applyFont="1" applyFill="1" applyBorder="1" applyAlignment="1">
      <x:alignment wrapText="1"/>
    </x:xf>
    <x:xf numFmtId="0" fontId="0" fillId="8" borderId="7" xfId="0" applyNumberFormat="1" applyFont="1" applyFill="1" applyBorder="1" applyAlignment="1">
      <x:alignment wrapText="1"/>
    </x:xf>
    <x:xf numFmtId="0" fontId="5" fillId="8" borderId="4" xfId="0" applyNumberFormat="1" applyFont="1" applyFill="1" applyBorder="1" applyAlignment="1">
      <x:alignment wrapText="1"/>
    </x:xf>
    <x:xf numFmtId="0" fontId="5" fillId="8" borderId="7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7" fillId="12" borderId="0" xfId="0" applyNumberFormat="1" applyFont="1" applyFill="1" applyBorder="1"/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0" fillId="14" borderId="0" xfId="0" applyNumberFormat="1" applyFont="1" applyFill="1" applyBorder="1"/>
    <x:xf numFmtId="0" fontId="6" fillId="14" borderId="0" xfId="0" applyNumberFormat="1" applyFont="1" applyFill="1" applyBorder="1"/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2" fillId="15" borderId="0" xfId="0" applyNumberFormat="1" applyFont="1" applyFill="1" applyBorder="1" applyAlignment="1">
      <x:alignment wrapText="1"/>
    </x:xf>
    <x:xf numFmtId="0" fontId="2" fillId="15" borderId="19" xfId="0" applyNumberFormat="1" applyFont="1" applyFill="1" applyBorder="1" applyAlignment="1">
      <x:alignment wrapText="1"/>
    </x:xf>
    <x:xf numFmtId="0" fontId="2" fillId="15" borderId="20" xfId="0" applyNumberFormat="1" applyFont="1" applyFill="1" applyBorder="1" applyAlignment="1">
      <x:alignment wrapText="1"/>
    </x:xf>
    <x:xf numFmtId="0" fontId="2" fillId="15" borderId="21" xfId="0" applyNumberFormat="1" applyFont="1" applyFill="1" applyBorder="1" applyAlignment="1">
      <x:alignment wrapText="1"/>
    </x:xf>
    <x:xf numFmtId="0" fontId="1" fillId="12" borderId="0" xfId="0" applyNumberFormat="1" applyFont="1" applyFill="1" applyBorder="1"/>
    <x:xf numFmtId="0" fontId="3" fillId="13" borderId="1" xfId="0" applyNumberFormat="1" applyFont="1" applyFill="1" applyBorder="1"/>
    <x:xf numFmtId="0" fontId="3" fillId="13" borderId="2" xfId="0" applyNumberFormat="1" applyFont="1" applyFill="1" applyBorder="1"/>
    <x:xf numFmtId="0" fontId="3" fillId="13" borderId="3" xfId="0" applyNumberFormat="1" applyFont="1" applyFill="1" applyBorder="1"/>
    <x:xf numFmtId="0" fontId="0" fillId="16" borderId="5" xfId="0" applyNumberFormat="1" applyFont="1" applyFill="1" applyBorder="1"/>
    <x:xf numFmtId="0" fontId="4" fillId="16" borderId="5" xfId="0" applyNumberFormat="1" applyFont="1" applyFill="1" applyBorder="1"/>
    <x:xf numFmtId="200" fontId="4" fillId="16" borderId="5" xfId="0" applyNumberFormat="1" applyFont="1" applyFill="1" applyBorder="1"/>
    <x:xf numFmtId="200" fontId="4" fillId="16" borderId="5" xfId="0" applyNumberFormat="1" applyFont="1" applyFill="1" applyBorder="1" applyAlignment="1">
      <x:alignment horizontal="center"/>
    </x:xf>
    <x:xf numFmtId="0" fontId="0" fillId="14" borderId="8" xfId="0" applyNumberFormat="1" applyFont="1" applyFill="1" applyBorder="1"/>
    <x:xf numFmtId="0" fontId="8" fillId="14" borderId="8" xfId="0" applyNumberFormat="1" applyFont="1" applyFill="1" applyBorder="1"/>
    <x:xf numFmtId="0" fontId="2" fillId="12" borderId="0" xfId="0" applyNumberFormat="1" applyFont="1" applyFill="1" applyBorder="1"/>
    <x:xf numFmtId="0" fontId="6" fillId="14" borderId="0" xfId="0" applyNumberFormat="1" applyFont="1" applyFill="1" applyBorder="1" applyAlignment="1">
      <x:alignment wrapText="1"/>
    </x:xf>
    <x:xf numFmtId="0" fontId="2" fillId="12" borderId="1" xfId="0" applyNumberFormat="1" applyFont="1" applyFill="1" applyBorder="1"/>
    <x:xf numFmtId="0" fontId="2" fillId="12" borderId="2" xfId="0" applyNumberFormat="1" applyFont="1" applyFill="1" applyBorder="1"/>
    <x:xf numFmtId="0" fontId="2" fillId="12" borderId="3" xfId="0" applyNumberFormat="1" applyFont="1" applyFill="1" applyBorder="1"/>
    <x:xf numFmtId="0" fontId="0" fillId="13" borderId="4" xfId="0" applyNumberFormat="1" applyFont="1" applyFill="1" applyBorder="1" applyAlignment="1">
      <x:alignment wrapText="1"/>
    </x:xf>
    <x:xf numFmtId="0" fontId="0" fillId="13" borderId="7" xfId="0" applyNumberFormat="1" applyFont="1" applyFill="1" applyBorder="1" applyAlignment="1">
      <x:alignment wrapText="1"/>
    </x:xf>
    <x:xf numFmtId="0" fontId="5" fillId="13" borderId="4" xfId="0" applyNumberFormat="1" applyFont="1" applyFill="1" applyBorder="1" applyAlignment="1">
      <x:alignment wrapText="1"/>
    </x:xf>
    <x:xf numFmtId="0" fontId="5" fillId="13" borderId="7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7" fillId="17" borderId="0" xfId="0" applyNumberFormat="1" applyFont="1" applyFill="1" applyBorder="1"/>
    <x:xf numFmtId="0" fontId="0" fillId="18" borderId="0" xfId="0" applyNumberFormat="1" applyFont="1" applyFill="1" applyBorder="1"/>
    <x:xf numFmtId="0" fontId="3" fillId="18" borderId="0" xfId="0" applyNumberFormat="1" applyFont="1" applyFill="1" applyBorder="1"/>
    <x:xf numFmtId="0" fontId="0" fillId="19" borderId="0" xfId="0" applyNumberFormat="1" applyFont="1" applyFill="1" applyBorder="1"/>
    <x:xf numFmtId="0" fontId="6" fillId="19" borderId="0" xfId="0" applyNumberFormat="1" applyFont="1" applyFill="1" applyBorder="1"/>
    <x:xf numFmtId="0" fontId="0" fillId="20" borderId="0" xfId="0" applyNumberFormat="1" applyFont="1" applyFill="1" applyBorder="1"/>
    <x:xf numFmtId="0" fontId="2" fillId="20" borderId="0" xfId="0" applyNumberFormat="1" applyFont="1" applyFill="1" applyBorder="1"/>
    <x:xf numFmtId="0" fontId="2" fillId="20" borderId="0" xfId="0" applyNumberFormat="1" applyFont="1" applyFill="1" applyBorder="1" applyAlignment="1">
      <x:alignment wrapText="1"/>
    </x:xf>
    <x:xf numFmtId="0" fontId="2" fillId="20" borderId="19" xfId="0" applyNumberFormat="1" applyFont="1" applyFill="1" applyBorder="1" applyAlignment="1">
      <x:alignment wrapText="1"/>
    </x:xf>
    <x:xf numFmtId="0" fontId="2" fillId="20" borderId="20" xfId="0" applyNumberFormat="1" applyFont="1" applyFill="1" applyBorder="1" applyAlignment="1">
      <x:alignment wrapText="1"/>
    </x:xf>
    <x:xf numFmtId="0" fontId="2" fillId="20" borderId="21" xfId="0" applyNumberFormat="1" applyFont="1" applyFill="1" applyBorder="1" applyAlignment="1">
      <x:alignment wrapText="1"/>
    </x:xf>
    <x:xf numFmtId="200" fontId="0" fillId="0" borderId="24" xfId="0" applyNumberFormat="1" applyFont="1" applyFill="1" applyBorder="1"/>
    <x:xf numFmtId="200" fontId="0" fillId="0" borderId="27" xfId="0" applyNumberFormat="1" applyFont="1" applyFill="1" applyBorder="1"/>
    <x:xf numFmtId="200" fontId="0" fillId="0" borderId="24" xfId="0" applyNumberFormat="1" applyFont="1" applyFill="1" applyBorder="1" applyAlignment="1">
      <x:alignment wrapText="1"/>
    </x:xf>
    <x:xf numFmtId="200" fontId="0" fillId="0" borderId="27" xfId="0" applyNumberFormat="1" applyFont="1" applyFill="1" applyBorder="1" applyAlignment="1">
      <x:alignment wrapText="1"/>
    </x:xf>
    <x:xf numFmtId="200" fontId="0" fillId="0" borderId="24" xfId="0" applyNumberFormat="1" applyFont="1" applyFill="1" applyBorder="1" applyAlignment="1">
      <x:alignment horizontal="center" wrapText="1"/>
    </x:xf>
    <x:xf numFmtId="200" fontId="0" fillId="0" borderId="27" xfId="0" applyNumberFormat="1" applyFont="1" applyFill="1" applyBorder="1" applyAlignment="1">
      <x:alignment horizontal="center" wrapText="1"/>
    </x:xf>
    <x:xf numFmtId="0" fontId="1" fillId="17" borderId="0" xfId="0" applyNumberFormat="1" applyFont="1" applyFill="1" applyBorder="1"/>
    <x:xf numFmtId="0" fontId="3" fillId="18" borderId="1" xfId="0" applyNumberFormat="1" applyFont="1" applyFill="1" applyBorder="1"/>
    <x:xf numFmtId="0" fontId="3" fillId="18" borderId="2" xfId="0" applyNumberFormat="1" applyFont="1" applyFill="1" applyBorder="1"/>
    <x:xf numFmtId="0" fontId="3" fillId="18" borderId="3" xfId="0" applyNumberFormat="1" applyFont="1" applyFill="1" applyBorder="1"/>
    <x:xf numFmtId="0" fontId="0" fillId="21" borderId="5" xfId="0" applyNumberFormat="1" applyFont="1" applyFill="1" applyBorder="1"/>
    <x:xf numFmtId="0" fontId="4" fillId="21" borderId="5" xfId="0" applyNumberFormat="1" applyFont="1" applyFill="1" applyBorder="1"/>
    <x:xf numFmtId="200" fontId="4" fillId="21" borderId="5" xfId="0" applyNumberFormat="1" applyFont="1" applyFill="1" applyBorder="1"/>
    <x:xf numFmtId="200" fontId="4" fillId="21" borderId="5" xfId="0" applyNumberFormat="1" applyFont="1" applyFill="1" applyBorder="1" applyAlignment="1">
      <x:alignment horizontal="center"/>
    </x:xf>
    <x:xf numFmtId="0" fontId="0" fillId="19" borderId="8" xfId="0" applyNumberFormat="1" applyFont="1" applyFill="1" applyBorder="1"/>
    <x:xf numFmtId="0" fontId="8" fillId="19" borderId="8" xfId="0" applyNumberFormat="1" applyFont="1" applyFill="1" applyBorder="1"/>
    <x:xf numFmtId="0" fontId="2" fillId="17" borderId="0" xfId="0" applyNumberFormat="1" applyFont="1" applyFill="1" applyBorder="1"/>
    <x:xf numFmtId="0" fontId="6" fillId="19" borderId="0" xfId="0" applyNumberFormat="1" applyFont="1" applyFill="1" applyBorder="1" applyAlignment="1">
      <x:alignment wrapText="1"/>
    </x:xf>
    <x:xf numFmtId="0" fontId="2" fillId="17" borderId="1" xfId="0" applyNumberFormat="1" applyFont="1" applyFill="1" applyBorder="1"/>
    <x:xf numFmtId="0" fontId="2" fillId="17" borderId="2" xfId="0" applyNumberFormat="1" applyFont="1" applyFill="1" applyBorder="1"/>
    <x:xf numFmtId="0" fontId="2" fillId="17" borderId="3" xfId="0" applyNumberFormat="1" applyFont="1" applyFill="1" applyBorder="1"/>
    <x:xf numFmtId="0" fontId="0" fillId="18" borderId="4" xfId="0" applyNumberFormat="1" applyFont="1" applyFill="1" applyBorder="1" applyAlignment="1">
      <x:alignment wrapText="1"/>
    </x:xf>
    <x:xf numFmtId="0" fontId="0" fillId="18" borderId="7" xfId="0" applyNumberFormat="1" applyFont="1" applyFill="1" applyBorder="1" applyAlignment="1">
      <x:alignment wrapText="1"/>
    </x:xf>
    <x:xf numFmtId="0" fontId="5" fillId="18" borderId="4" xfId="0" applyNumberFormat="1" applyFont="1" applyFill="1" applyBorder="1" applyAlignment="1">
      <x:alignment wrapText="1"/>
    </x:xf>
    <x:xf numFmtId="0" fontId="5" fillId="18" borderId="7" xfId="0" applyNumberFormat="1" applyFont="1" applyFill="1" applyBorder="1" applyAlignment="1">
      <x:alignment wrapText="1"/>
    </x:xf>
    <x:xf numFmtId="0" fontId="0" fillId="22" borderId="0" xfId="0" applyNumberFormat="1" applyFont="1" applyFill="1" applyBorder="1"/>
    <x:xf numFmtId="0" fontId="9" fillId="22" borderId="0" xfId="0" applyNumberFormat="1" applyFont="1" applyFill="1" applyBorder="1"/>
    <x:xf numFmtId="0" fontId="0" fillId="23" borderId="0" xfId="0" applyNumberFormat="1" applyFont="1" applyFill="1" applyBorder="1"/>
    <x:xf numFmtId="0" fontId="2" fillId="23" borderId="0" xfId="0" applyNumberFormat="1" applyFont="1" applyFill="1" applyBorder="1"/>
    <x:xf numFmtId="0" fontId="2" fillId="23" borderId="1" xfId="0" applyNumberFormat="1" applyFont="1" applyFill="1" applyBorder="1"/>
    <x:xf numFmtId="0" fontId="2" fillId="23" borderId="3" xfId="0" applyNumberFormat="1" applyFont="1" applyFill="1" applyBorder="1"/>
    <x:xf numFmtId="0" fontId="2" fillId="23" borderId="1" xfId="0" applyNumberFormat="1" applyFont="1" applyFill="1" applyBorder="1" applyAlignment="1">
      <x:alignment wrapText="1"/>
    </x:xf>
    <x:xf numFmtId="0" fontId="2" fillId="23" borderId="3" xfId="0" applyNumberFormat="1" applyFont="1" applyFill="1" applyBorder="1" applyAlignment="1">
      <x:alignment wrapText="1"/>
    </x:xf>
    <x:xf numFmtId="0" fontId="0" fillId="24" borderId="4" xfId="0" applyNumberFormat="1" applyFont="1" applyFill="1" applyBorder="1" applyAlignment="1">
      <x:alignment wrapText="1"/>
    </x:xf>
    <x:xf numFmtId="0" fontId="0" fillId="24" borderId="7" xfId="0" applyNumberFormat="1" applyFont="1" applyFill="1" applyBorder="1" applyAlignment="1">
      <x:alignment wrapText="1"/>
    </x:xf>
    <x:xf numFmtId="0" fontId="3" fillId="24" borderId="4" xfId="0" applyNumberFormat="1" applyFont="1" applyFill="1" applyBorder="1" applyAlignment="1">
      <x:alignment wrapText="1"/>
    </x:xf>
    <x:xf numFmtId="0" fontId="3" fillId="24" borderId="7" xfId="0" applyNumberFormat="1" applyFont="1" applyFill="1" applyBorder="1" applyAlignment="1">
      <x:alignment wrapText="1"/>
    </x:xf>
    <x:xf numFmtId="0" fontId="0" fillId="25" borderId="0" xfId="0" applyNumberFormat="1" applyFont="1" applyFill="1" applyBorder="1"/>
    <x:xf numFmtId="0" fontId="6" fillId="25" borderId="0" xfId="0" applyNumberFormat="1" applyFont="1" applyFill="1" applyBorder="1"/>
    <x:xf numFmtId="0" fontId="6" fillId="25" borderId="0" xfId="0" applyNumberFormat="1" applyFont="1" applyFill="1" applyBorder="1" applyAlignment="1">
      <x:alignment wrapText="1"/>
    </x:xf>
    <x:xf numFmtId="0" fontId="0" fillId="26" borderId="0" xfId="0" applyNumberFormat="1" applyFont="1" applyFill="1" applyBorder="1"/>
    <x:xf numFmtId="0" fontId="2" fillId="26" borderId="0" xfId="0" applyNumberFormat="1" applyFont="1" applyFill="1" applyBorder="1"/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203" fontId="0" fillId="0" borderId="24" xfId="0" applyNumberFormat="1" applyFont="1" applyFill="1" applyBorder="1" applyAlignment="1">
      <x:alignment horizontal="center" wrapText="1"/>
    </x:xf>
    <x:xf numFmtId="203" fontId="0" fillId="0" borderId="27" xfId="0" applyNumberFormat="1" applyFont="1" applyFill="1" applyBorder="1" applyAlignment="1">
      <x:alignment horizontal="center" wrapText="1"/>
    </x:xf>
    <x:xf numFmtId="0" fontId="0" fillId="27" borderId="0" xfId="0" applyNumberFormat="1" applyFont="1" applyFill="1" applyBorder="1"/>
    <x:xf numFmtId="0" fontId="7" fillId="27" borderId="0" xfId="0" applyNumberFormat="1" applyFont="1" applyFill="1" applyBorder="1"/>
    <x:xf numFmtId="0" fontId="0" fillId="28" borderId="0" xfId="0" applyNumberFormat="1" applyFont="1" applyFill="1" applyBorder="1"/>
    <x:xf numFmtId="0" fontId="6" fillId="28" borderId="0" xfId="0" applyNumberFormat="1" applyFont="1" applyFill="1" applyBorder="1"/>
    <x:xf numFmtId="0" fontId="6" fillId="28" borderId="0" xfId="0" applyNumberFormat="1" applyFont="1" applyFill="1" applyBorder="1" applyAlignment="1">
      <x:alignment wrapText="1"/>
    </x:xf>
    <x:xf numFmtId="0" fontId="0" fillId="29" borderId="0" xfId="0" applyNumberFormat="1" applyFont="1" applyFill="1" applyBorder="1"/>
    <x:xf numFmtId="0" fontId="2" fillId="29" borderId="0" xfId="0" applyNumberFormat="1" applyFont="1" applyFill="1" applyBorder="1"/>
    <x:xf numFmtId="0" fontId="2" fillId="29" borderId="1" xfId="0" applyNumberFormat="1" applyFont="1" applyFill="1" applyBorder="1"/>
    <x:xf numFmtId="0" fontId="2" fillId="29" borderId="2" xfId="0" applyNumberFormat="1" applyFont="1" applyFill="1" applyBorder="1"/>
    <x:xf numFmtId="0" fontId="2" fillId="29" borderId="3" xfId="0" applyNumberFormat="1" applyFont="1" applyFill="1" applyBorder="1"/>
    <x:xf numFmtId="0" fontId="2" fillId="29" borderId="1" xfId="0" applyNumberFormat="1" applyFont="1" applyFill="1" applyBorder="1" applyAlignment="1">
      <x:alignment wrapText="1"/>
    </x:xf>
    <x:xf numFmtId="0" fontId="2" fillId="29" borderId="2" xfId="0" applyNumberFormat="1" applyFont="1" applyFill="1" applyBorder="1" applyAlignment="1">
      <x:alignment wrapText="1"/>
    </x:xf>
    <x:xf numFmtId="0" fontId="2" fillId="29" borderId="3" xfId="0" applyNumberFormat="1" applyFont="1" applyFill="1" applyBorder="1" applyAlignment="1">
      <x:alignment wrapText="1"/>
    </x:xf>
    <x:xf numFmtId="0" fontId="0" fillId="30" borderId="0" xfId="0" applyNumberFormat="1" applyFont="1" applyFill="1" applyBorder="1"/>
    <x:xf numFmtId="0" fontId="7" fillId="30" borderId="0" xfId="0" applyNumberFormat="1" applyFont="1" applyFill="1" applyBorder="1"/>
    <x:xf numFmtId="0" fontId="0" fillId="31" borderId="0" xfId="0" applyNumberFormat="1" applyFont="1" applyFill="1" applyBorder="1"/>
    <x:xf numFmtId="0" fontId="10" fillId="31" borderId="0" xfId="0" applyNumberFormat="1" applyFont="1" applyFill="1" applyBorder="1"/>
    <x:xf numFmtId="0" fontId="10" fillId="31" borderId="0" xfId="0" applyNumberFormat="1" applyFont="1" applyFill="1" applyBorder="1" applyAlignment="1">
      <x:alignment wrapText="1"/>
    </x:xf>
    <x:xf numFmtId="0" fontId="0" fillId="32" borderId="0" xfId="0" applyNumberFormat="1" applyFont="1" applyFill="1" applyBorder="1"/>
    <x:xf numFmtId="0" fontId="2" fillId="32" borderId="0" xfId="0" applyNumberFormat="1" applyFont="1" applyFill="1" applyBorder="1"/>
    <x:xf numFmtId="0" fontId="2" fillId="32" borderId="0" xfId="0" applyNumberFormat="1" applyFont="1" applyFill="1" applyBorder="1" applyAlignment="1">
      <x:alignment wrapText="1"/>
    </x:xf>
    <x:xf numFmtId="0" fontId="2" fillId="32" borderId="1" xfId="0" applyNumberFormat="1" applyFont="1" applyFill="1" applyBorder="1" applyAlignment="1">
      <x:alignment wrapText="1"/>
    </x:xf>
    <x:xf numFmtId="0" fontId="2" fillId="32" borderId="2" xfId="0" applyNumberFormat="1" applyFont="1" applyFill="1" applyBorder="1" applyAlignment="1">
      <x:alignment wrapText="1"/>
    </x:xf>
    <x:xf numFmtId="0" fontId="2" fillId="32" borderId="3" xfId="0" applyNumberFormat="1" applyFont="1" applyFill="1" applyBorder="1" applyAlignment="1">
      <x:alignment wrapText="1"/>
    </x:xf>
    <x:xf numFmtId="0" fontId="0" fillId="33" borderId="5" xfId="0" applyNumberFormat="1" applyFont="1" applyFill="1" applyBorder="1" applyAlignment="1">
      <x:alignment wrapText="1"/>
    </x:xf>
    <x:xf numFmtId="0" fontId="0" fillId="33" borderId="6" xfId="0" applyNumberFormat="1" applyFont="1" applyFill="1" applyBorder="1" applyAlignment="1">
      <x:alignment wrapText="1"/>
    </x:xf>
    <x:xf numFmtId="0" fontId="0" fillId="34" borderId="0" xfId="0" applyNumberFormat="1" applyFont="1" applyFill="1" applyBorder="1"/>
    <x:xf numFmtId="0" fontId="2" fillId="34" borderId="0" xfId="0" applyNumberFormat="1" applyFont="1" applyFill="1" applyBorder="1"/>
    <x:xf numFmtId="0" fontId="2" fillId="34" borderId="0" xfId="0" applyNumberFormat="1" applyFont="1" applyFill="1" applyBorder="1" applyAlignment="1">
      <x:alignment wrapText="1"/>
    </x:xf>
  </x:cellXfs>
  <x:cellStyles count="1">
    <x:cellStyle name="Normal" xfId="0"/>
  </x:cellStyles>
  <x:dxfs count="12">
    <x:dxf>
      <x:font>
        <x:b/>
        <x:color rgb="FF1E7A4D"/>
      </x:font>
      <x:fill>
        <x:patternFill>
          <x:bgColor rgb="FFEAF4EE"/>
        </x:patternFill>
      </x:fill>
    </x:dxf>
    <x:dxf>
      <x:font>
        <x:color rgb="FF7A5610"/>
      </x:font>
      <x:fill>
        <x:patternFill>
          <x:bgColor rgb="FFFFF7E6"/>
        </x:patternFill>
      </x:fill>
    </x:dxf>
    <x:dxf>
      <x:font>
        <x:color rgb="FF1D4E89"/>
      </x:font>
      <x:fill>
        <x:patternFill>
          <x:bgColor rgb="FFEAF1FB"/>
        </x:patternFill>
      </x:fill>
    </x:dxf>
    <x:dxf>
      <x:font>
        <x:b/>
        <x:color rgb="FF1E7A4D"/>
      </x:font>
      <x:fill>
        <x:patternFill>
          <x:bgColor rgb="FFEAF4EE"/>
        </x:patternFill>
      </x:fill>
    </x:dxf>
    <x:dxf>
      <x:font>
        <x:b/>
        <x:color rgb="FF1D4E89"/>
      </x:font>
      <x:fill>
        <x:patternFill>
          <x:bgColor rgb="FFEAF1FB"/>
        </x:patternFill>
      </x:fill>
    </x:dxf>
    <x:dxf>
      <x:font>
        <x:b/>
        <x:color rgb="FF7A5610"/>
      </x:font>
      <x:fill>
        <x:patternFill>
          <x:bgColor rgb="FFFFF7E6"/>
        </x:patternFill>
      </x:fill>
    </x:dxf>
    <x:dxf>
      <x:font>
        <x:b/>
        <x:color rgb="FF1E7A4D"/>
      </x:font>
      <x:fill>
        <x:patternFill>
          <x:bgColor rgb="FFEAF4EE"/>
        </x:patternFill>
      </x:fill>
    </x:dxf>
    <x:dxf>
      <x:font>
        <x:b/>
        <x:color rgb="FF1D4E89"/>
      </x:font>
      <x:fill>
        <x:patternFill>
          <x:bgColor rgb="FFEAF1FB"/>
        </x:patternFill>
      </x:fill>
    </x:dxf>
    <x:dxf>
      <x:font>
        <x:color rgb="FF7A5610"/>
      </x:font>
      <x:fill>
        <x:patternFill>
          <x:bgColor rgb="FFFFF7E6"/>
        </x:patternFill>
      </x:fill>
    </x:dxf>
    <x:dxf>
      <x:font>
        <x:b/>
        <x:color rgb="FF1E7A4D"/>
      </x:font>
      <x:fill>
        <x:patternFill>
          <x:bgColor rgb="FFEAF4EE"/>
        </x:patternFill>
      </x:fill>
    </x:dxf>
    <x:dxf>
      <x:font>
        <x:b/>
        <x:color rgb="FF1D4E89"/>
      </x:font>
      <x:fill>
        <x:patternFill>
          <x:bgColor rgb="FFEAF1FB"/>
        </x:patternFill>
      </x:fill>
    </x:dxf>
    <x:dxf>
      <x:font>
        <x:color rgb="FF7A5610"/>
      </x:font>
      <x:fill>
        <x:patternFill>
          <x:bgColor rgb="FFFFF7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52cf1c48d8469d" /><Relationship Type="http://schemas.openxmlformats.org/officeDocument/2006/relationships/theme" Target="/xl/theme/theme1.xml" Id="Rd819a6f0944f4313" /><Relationship Type="http://schemas.openxmlformats.org/officeDocument/2006/relationships/sharedStrings" Target="/xl/sharedStrings.xml" Id="R5cd64f746d994979" /><Relationship Type="http://schemas.openxmlformats.org/officeDocument/2006/relationships/worksheet" Target="/xl/worksheets/sheet1.xml" Id="Ra922ed3b6ced4ba1" /><Relationship Type="http://schemas.openxmlformats.org/officeDocument/2006/relationships/worksheet" Target="/xl/worksheets/sheet2.xml" Id="R2983d8ecfa174add" /><Relationship Type="http://schemas.openxmlformats.org/officeDocument/2006/relationships/worksheet" Target="/xl/worksheets/sheet3.xml" Id="Raac9221d70014ebb" /><Relationship Type="http://schemas.openxmlformats.org/officeDocument/2006/relationships/worksheet" Target="/xl/worksheets/sheet4.xml" Id="R5e3af3488a6a4648" /><Relationship Type="http://schemas.openxmlformats.org/officeDocument/2006/relationships/worksheet" Target="/xl/worksheets/sheet5.xml" Id="R4f9f7d1e2cb84069" /><Relationship Type="http://schemas.openxmlformats.org/officeDocument/2006/relationships/worksheet" Target="/xl/worksheets/sheet6.xml" Id="R0a23aa172b6b4c40" /><Relationship Type="http://schemas.openxmlformats.org/officeDocument/2006/relationships/worksheet" Target="/xl/worksheets/sheet7.xml" Id="R9ed5d554de68449d" /><Relationship Type="http://schemas.openxmlformats.org/officeDocument/2006/relationships/worksheet" Target="/xl/worksheets/sheet8.xml" Id="R07f88edc0dde4492" /></Relationships>
</file>

<file path=xl/tables/table1.xml><?xml version="1.0" encoding="utf-8"?>
<x:table xmlns:x="http://schemas.openxmlformats.org/spreadsheetml/2006/main" id="1" name="IntentMasterTableV4" displayName="IntentMasterTableV4" ref="A6:Z107" headerRowCount="1" totalsRowCount="0" totalsRowShown="0">
  <x:tableColumns count="26">
    <x:tableColumn id="1" name="車種"/>
    <x:tableColumn id="2" name="優先帯"/>
    <x:tableColumn id="3" name="検索意図"/>
    <x:tableColumn id="4" name="想定クエリ"/>
    <x:tableColumn id="5" name="既存URL"/>
    <x:tableColumn id="6" name="新規or改善"/>
    <x:tableColumn id="7" name="推定検索需要&#10;(0-40)"/>
    <x:tableColumn id="8" name="競合の弱さ&#10;(0-30)"/>
    <x:tableColumn id="9" name="CarVista適性&#10;(0-30)"/>
    <x:tableColumn id="10" name="GSC表示回数"/>
    <x:tableColumn id="11" name="GSCクリック数"/>
    <x:tableColumn id="12" name="平均順位"/>
    <x:tableColumn id="13" name="資産化レベル"/>
    <x:tableColumn id="14" name="画像資産"/>
    <x:tableColumn id="15" name="コンテンツタイプ"/>
    <x:tableColumn id="16" name="再利用想定&#10;ページ数"/>
    <x:tableColumn id="17" name="Asset ROI"/>
    <x:tableColumn id="18" name="公開状況"/>
    <x:tableColumn id="19" name="資産優先スコア"/>
    <x:tableColumn id="20" name="制作ステータス"/>
    <x:tableColumn id="21" name="次回確認日"/>
    <x:tableColumn id="22" name="制作メモ"/>
    <x:tableColumn id="23" name="公開条件チェック"/>
    <x:tableColumn id="24" name="Impact係数"/>
    <x:tableColumn id="25" name="Impact"/>
    <x:tableColumn id="26" name="Prior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698e17f15d840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  <x:col min="3" max="3" width="60" hidden="0" customWidth="1"/>
    <x:col min="4" max="4" width="120.37999725341797" hidden="0" customWidth="1"/>
    <x:col min="5" max="5" width="120.37999725341797" hidden="0" customWidth="1"/>
    <x:col min="6" max="6" width="120.37999725341797" hidden="0" customWidth="1"/>
    <x:col min="7" max="7" width="120.37999725341797" hidden="0" customWidth="1"/>
    <x:col min="8" max="8" width="120.37999725341797" hidden="0" customWidth="1"/>
  </x:cols>
  <x:sheetData>
    <x:row r="1" ht="21.600000381469727" hidden="0" customHeight="1">
      <x:c r="A1" s="198" t="str">
        <x:v>CarVista 編集運営マスター</x:v>
      </x:c>
      <x:c r="B1" s="198"/>
      <x:c r="C1" s="198"/>
      <x:c r="D1" s="198"/>
      <x:c r="E1" s="198"/>
      <x:c r="F1" s="198"/>
      <x:c r="G1" s="198"/>
      <x:c r="H1" s="198"/>
    </x:row>
    <x:row r="2" ht="15" hidden="0" customHeight="1">
      <x:c r="A2" s="187" t="str">
        <x:v>North Star：1,000ページではなく、1,000検索意図を獲得する。</x:v>
      </x:c>
      <x:c r="B2" s="187"/>
      <x:c r="C2" s="187"/>
      <x:c r="D2" s="187"/>
      <x:c r="E2" s="187"/>
      <x:c r="F2" s="187"/>
      <x:c r="G2" s="187"/>
      <x:c r="H2" s="187"/>
    </x:row>
    <x:row r="3"/>
    <x:row r="4" ht="15" hidden="0" customHeight="1">
      <x:c r="A4" s="199" t="str">
        <x:v>今週の意思決定</x:v>
      </x:c>
      <x:c r="B4" s="200" t="str">
        <x:v>数値</x:v>
      </x:c>
      <x:c r="C4" s="201" t="str">
        <x:v>意味</x:v>
      </x:c>
      <x:c r="D4"/>
      <x:c r="E4"/>
      <x:c r="F4"/>
      <x:c r="G4"/>
      <x:c r="H4"/>
    </x:row>
    <x:row r="5" ht="15" hidden="0" customHeight="1">
      <x:c r="A5" s="10" t="str">
        <x:v>登録検索意図</x:v>
      </x:c>
      <x:c r="B5" s="205" t="n">
        <x:f>COUNTA('検索意図マスター'!$A$7:$A$107)</x:f>
        <x:v>101</x:v>
      </x:c>
      <x:c r="C5" s="12" t="str">
        <x:v>既存100意図＋アルファード30系前期後期候補</x:v>
      </x:c>
    </x:row>
    <x:row r="6" ht="15" hidden="0" customHeight="1">
      <x:c r="A6" s="10" t="str">
        <x:v>Impact ★★★★★</x:v>
      </x:c>
      <x:c r="B6" s="205" t="n">
        <x:f>COUNTIF('検索意図マスター'!$Y$7:$Y$107,"★★★★★")</x:f>
        <x:v>42</x:v>
      </x:c>
      <x:c r="C6" s="12" t="str">
        <x:v>代表車種としてブランド全体を牽引する候補</x:v>
      </x:c>
    </x:row>
    <x:row r="7" ht="15" hidden="0" customHeight="1">
      <x:c r="A7" s="10" t="str">
        <x:v>GSC表示あり</x:v>
      </x:c>
      <x:c r="B7" s="205" t="n">
        <x:f>COUNTIF('検索意図マスター'!$J$7:$J$107,"&gt;0")</x:f>
        <x:v>6</x:v>
      </x:c>
      <x:c r="C7" s="12" t="str">
        <x:v>Googleが関連性を示し始めた意図</x:v>
      </x:c>
    </x:row>
    <x:row r="8" ht="15" hidden="0" customHeight="1">
      <x:c r="A8" s="10" t="str">
        <x:v>SERENA C27前期後期 Priority</x:v>
      </x:c>
      <x:c r="B8" s="205" t="n">
        <x:f>SUMIFS('検索意図マスター'!$Z$7:$Z$107,'検索意図マスター'!$A$7:$A$107,"SERENA",'検索意図マスター'!$C$7:$C$107,"前期・後期")</x:f>
        <x:v>75.6</x:v>
      </x:c>
      <x:c r="C8" s="12" t="str">
        <x:v>60,480 × Impact 5</x:v>
      </x:c>
    </x:row>
    <x:row r="9" ht="15" hidden="0" customHeight="1">
      <x:c r="A9" s="10" t="str">
        <x:v>ALPHARD 30系前期後期 Priority</x:v>
      </x:c>
      <x:c r="B9" s="205" t="n">
        <x:f>SUMIFS('検索意図マスター'!$Z$7:$Z$107,'検索意図マスター'!$A$7:$A$107,"ALPHARD",'検索意図マスター'!$D$7:$D$107,"アルファード 30系 前期後期 違い")</x:f>
        <x:v>0</x:v>
      </x:c>
      <x:c r="C9" s="12" t="str">
        <x:v>94,500 × Impact 5</x:v>
      </x:c>
    </x:row>
    <x:row r="10">
      <x:c r="A10" s="13" t="str">
        <x:v>今週の制作対象</x:v>
      </x:c>
      <x:c r="B10" s="207" t="str">
        <x:f>"ALPHARD 30系 前期後期 違い"</x:f>
        <x:v>ALPHARD 30系 前期後期 違い</x:v>
      </x:c>
      <x:c r="C10" s="15" t="str">
        <x:v>ALPHARD 30系 前期後期 違い（制作中）</x:v>
      </x:c>
    </x:row>
    <x:row r="11"/>
    <x:row r="12" ht="15" hidden="0" customHeight="1">
      <x:c r="A12"/>
      <x:c r="B12"/>
      <x:c r="C12"/>
      <x:c r="D12"/>
      <x:c r="E12"/>
      <x:c r="F12"/>
      <x:c r="G12"/>
      <x:c r="H12"/>
    </x:row>
    <x:row r="13" ht="34" hidden="0" customHeight="1">
      <x:c r="A13" s="208" t="str">
        <x:v>編集会議ルール</x:v>
      </x:c>
      <x:c r="B13" s="208"/>
      <x:c r="C13" s="208"/>
      <x:c r="D13" s="208"/>
      <x:c r="E13" s="208"/>
      <x:c r="F13" s="208"/>
      <x:c r="G13" s="208"/>
      <x:c r="H13" s="208"/>
    </x:row>
    <x:row r="14" ht="34" hidden="0" customHeight="1">
      <x:c r="A14" s="209" t="str">
        <x:v>順位変更は週1回の編集会議のみ。制作中の対象は、GSC・GA4の週次確認後まで変更しない。</x:v>
      </x:c>
      <x:c r="B14" s="209"/>
      <x:c r="C14" s="209"/>
      <x:c r="D14" s="209"/>
      <x:c r="E14" s="209"/>
      <x:c r="F14" s="209"/>
      <x:c r="G14" s="209"/>
      <x:c r="H14" s="209"/>
    </x:row>
    <x:row r="15" ht="34" hidden="0" customHeight="1">
      <x:c r="A15"/>
      <x:c r="B15"/>
      <x:c r="C15"/>
      <x:c r="D15"/>
      <x:c r="E15"/>
      <x:c r="F15"/>
      <x:c r="G15"/>
      <x:c r="H15"/>
    </x:row>
    <x:row r="16" ht="34" hidden="0" customHeight="1">
      <x:c r="A16"/>
      <x:c r="B16"/>
      <x:c r="C16"/>
      <x:c r="D16"/>
      <x:c r="E16"/>
      <x:c r="F16"/>
      <x:c r="G16"/>
      <x:c r="H16"/>
    </x:row>
    <x:row r="17" ht="34" hidden="0" customHeight="1">
      <x:c r="A17"/>
      <x:c r="B17"/>
      <x:c r="C17"/>
      <x:c r="D17"/>
      <x:c r="E17"/>
      <x:c r="F17"/>
      <x:c r="G17"/>
      <x:c r="H17"/>
    </x:row>
    <x:row r="18"/>
    <x:row r="19" ht="15" hidden="0" customHeight="1">
      <x:c r="A19"/>
      <x:c r="B19"/>
      <x:c r="C19"/>
      <x:c r="D19"/>
      <x:c r="E19"/>
      <x:c r="F19"/>
      <x:c r="G19"/>
      <x:c r="H19"/>
    </x:row>
    <x:row r="21" ht="36" customHeight="1">
      <x:c r="A21" s="231" t="str">
        <x:v>情報設計の恒久方針：車種本体を最高の歴代図鑑にし、独立URLは特定世代の深掘り・横比較・購入判断だけに限定する。詳細は「恒久編集ルール」シートを参照。</x:v>
      </x:c>
      <x:c r="B21" s="231"/>
      <x:c r="C21" s="231"/>
      <x:c r="D21" s="231"/>
      <x:c r="E21" s="231"/>
      <x:c r="F21" s="231"/>
      <x:c r="G21" s="231"/>
      <x:c r="H21" s="231"/>
    </x:row>
  </x:sheetData>
  <x:mergeCells>
    <x:mergeCell ref="A1:H1"/>
    <x:mergeCell ref="A2:H2"/>
    <x:mergeCell ref="A13:H13"/>
    <x:mergeCell ref="A14:H14"/>
    <x:mergeCell ref="A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8" hidden="0" customWidth="1"/>
    <x:col min="4" max="4" width="34" hidden="0" customWidth="1"/>
    <x:col min="5" max="5" width="38" hidden="0" customWidth="1"/>
    <x:col min="6" max="6" width="1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28" hidden="0" customWidth="1"/>
    <x:col min="15" max="15" width="16" hidden="0" customWidth="1"/>
    <x:col min="16" max="16" width="14" hidden="0" customWidth="1"/>
    <x:col min="17" max="17" width="14" hidden="0" customWidth="1"/>
    <x:col min="18" max="18" width="14" hidden="0" customWidth="1"/>
    <x:col min="19" max="19" width="16" hidden="0" customWidth="1"/>
    <x:col min="20" max="20" width="22" hidden="0" customWidth="1"/>
    <x:col min="21" max="21" width="14" hidden="0" customWidth="1"/>
    <x:col min="22" max="22" width="44" hidden="0" customWidth="1"/>
    <x:col min="23" max="23" width="20" hidden="0" customWidth="1"/>
    <x:col min="24" max="24" width="14" hidden="0" customWidth="1"/>
    <x:col min="25" max="25" width="14" hidden="0" customWidth="1"/>
    <x:col min="26" max="26" width="16" hidden="0" customWidth="1"/>
  </x:cols>
  <x:sheetData>
    <x:row r="1" ht="19.200000762939453" hidden="0" customHeight="1">
      <x:c r="A1" s="181" t="str">
        <x:v>CarVista 編集マスター — 検索意図・資産ROI・Impact</x:v>
      </x:c>
      <x:c r="B1" s="181"/>
      <x:c r="C1" s="181"/>
      <x:c r="D1" s="181"/>
      <x:c r="E1" s="181"/>
      <x:c r="F1" s="181"/>
      <x:c r="G1" s="181"/>
      <x:c r="H1" s="181"/>
      <x:c r="I1" s="181"/>
      <x:c r="J1" s="181"/>
      <x:c r="K1" s="181"/>
      <x:c r="L1" s="181"/>
      <x:c r="M1" s="181"/>
      <x:c r="N1" s="181"/>
      <x:c r="O1" s="181"/>
      <x:c r="P1" s="181"/>
      <x:c r="Q1" s="181"/>
      <x:c r="R1" s="181"/>
      <x:c r="S1" s="181"/>
      <x:c r="T1" s="181"/>
      <x:c r="U1" s="181"/>
      <x:c r="V1" s="181"/>
      <x:c r="W1" s="181"/>
      <x:c r="X1" s="181"/>
      <x:c r="Y1" s="181"/>
      <x:c r="Z1" s="181"/>
    </x:row>
    <x:row r="2" ht="15" hidden="0" customHeight="1">
      <x:c r="A2" s="183" t="str">
        <x:v>Priority = 推定検索需要 × 競合の弱さ × CarVista適性 × Asset ROI × Impact。GSC実績は週次の編集会議で確認し、制作中は順位を変えない。</x:v>
      </x:c>
      <x:c r="B2" s="183"/>
      <x:c r="C2" s="183"/>
      <x:c r="D2" s="183"/>
      <x:c r="E2" s="183"/>
      <x:c r="F2" s="183"/>
      <x:c r="G2" s="183"/>
      <x:c r="H2" s="183"/>
      <x:c r="I2" s="183"/>
      <x:c r="J2" s="183"/>
      <x:c r="K2" s="183"/>
      <x:c r="L2" s="183"/>
      <x:c r="M2" s="183"/>
      <x:c r="N2" s="183"/>
      <x:c r="O2" s="183"/>
      <x:c r="P2" s="183"/>
      <x:c r="Q2" s="183"/>
      <x:c r="R2" s="183"/>
      <x:c r="S2" s="183"/>
      <x:c r="T2" s="183"/>
      <x:c r="U2" s="183"/>
      <x:c r="V2" s="183"/>
      <x:c r="W2" s="183"/>
      <x:c r="X2" s="183"/>
      <x:c r="Y2" s="183"/>
      <x:c r="Z2" s="183"/>
    </x:row>
    <x:row r="3"/>
    <x:row r="4" ht="15" hidden="0" customHeight="1">
      <x:c r="A4" s="185" t="str">
        <x:v>Impact：★★★★★＝代表車種（係数5）、★★★★☆＝主要人気車種（4）、★★★☆☆＝中堅車種（3）、★★☆☆☆＝ニッチ車種（2）。新規ページは公開条件7項目が確認済みになるまで公開しない。</x:v>
      </x:c>
      <x:c r="B4" s="185"/>
      <x:c r="C4" s="185"/>
      <x:c r="D4" s="185"/>
      <x:c r="E4" s="185"/>
      <x:c r="F4" s="185"/>
      <x:c r="G4" s="185"/>
      <x:c r="H4" s="185"/>
      <x:c r="I4" s="185"/>
      <x:c r="J4" s="185"/>
      <x:c r="K4" s="185"/>
      <x:c r="L4" s="185"/>
      <x:c r="M4" s="185"/>
      <x:c r="N4" s="185"/>
      <x:c r="O4" s="185"/>
      <x:c r="P4" s="185"/>
      <x:c r="Q4" s="185"/>
      <x:c r="R4" s="185"/>
      <x:c r="S4" s="185"/>
      <x:c r="T4" s="185"/>
      <x:c r="U4" s="185"/>
      <x:c r="V4" s="185"/>
      <x:c r="W4" s="185"/>
      <x:c r="X4" s="185"/>
      <x:c r="Y4" s="185"/>
      <x:c r="Z4" s="185"/>
    </x:row>
    <x:row r="5"/>
    <x:row r="6" ht="26.399999618530273" hidden="0" customHeight="1">
      <x:c r="A6" s="189" t="str">
        <x:v>車種</x:v>
      </x:c>
      <x:c r="B6" s="190" t="str">
        <x:v>優先帯</x:v>
      </x:c>
      <x:c r="C6" s="190" t="str">
        <x:v>検索意図</x:v>
      </x:c>
      <x:c r="D6" s="190" t="str">
        <x:v>想定クエリ</x:v>
      </x:c>
      <x:c r="E6" s="190" t="str">
        <x:v>既存URL</x:v>
      </x:c>
      <x:c r="F6" s="190" t="str">
        <x:v>新規or改善</x:v>
      </x:c>
      <x:c r="G6" s="190" t="str">
        <x:v>推定検索需要
(0-40)</x:v>
      </x:c>
      <x:c r="H6" s="190" t="str">
        <x:v>競合の弱さ
(0-30)</x:v>
      </x:c>
      <x:c r="I6" s="190" t="str">
        <x:v>CarVista適性
(0-30)</x:v>
      </x:c>
      <x:c r="J6" s="190" t="str">
        <x:v>GSC表示回数</x:v>
      </x:c>
      <x:c r="K6" s="190" t="str">
        <x:v>GSCクリック数</x:v>
      </x:c>
      <x:c r="L6" s="190" t="str">
        <x:v>平均順位</x:v>
      </x:c>
      <x:c r="M6" s="190" t="str">
        <x:v>資産化レベル</x:v>
      </x:c>
      <x:c r="N6" s="190" t="str">
        <x:v>画像資産</x:v>
      </x:c>
      <x:c r="O6" s="190" t="str">
        <x:v>コンテンツタイプ</x:v>
      </x:c>
      <x:c r="P6" s="190" t="str">
        <x:v>再利用想定
ページ数</x:v>
      </x:c>
      <x:c r="Q6" s="190" t="str">
        <x:v>Asset ROI</x:v>
      </x:c>
      <x:c r="R6" s="190" t="str">
        <x:v>公開状況</x:v>
      </x:c>
      <x:c r="S6" s="190" t="str">
        <x:v>資産優先スコア</x:v>
      </x:c>
      <x:c r="T6" s="190" t="str">
        <x:v>制作ステータス</x:v>
      </x:c>
      <x:c r="U6" s="190" t="str">
        <x:v>次回確認日</x:v>
      </x:c>
      <x:c r="V6" s="190" t="str">
        <x:v>制作メモ</x:v>
      </x:c>
      <x:c r="W6" s="190" t="str">
        <x:v>公開条件チェック</x:v>
      </x:c>
      <x:c r="X6" s="190" t="str">
        <x:v>Impact係数</x:v>
      </x:c>
      <x:c r="Y6" s="190" t="str">
        <x:v>Impact</x:v>
      </x:c>
      <x:c r="Z6" s="191" t="str">
        <x:v>監査Priority
(0-100)</x:v>
      </x:c>
    </x:row>
    <x:row r="7" ht="30" hidden="0" customHeight="1">
      <x:c r="A7" s="75" t="str">
        <x:v>ALPHARD</x:v>
      </x:c>
      <x:c r="B7" s="77" t="str">
        <x:v>★★★★★</x:v>
      </x:c>
      <x:c r="C7" s="66" t="str">
        <x:v>歴代</x:v>
      </x:c>
      <x:c r="D7" s="66" t="str">
        <x:v>アルファード 歴代</x:v>
      </x:c>
      <x:c r="E7" s="66" t="str">
        <x:v>https://carvista.jp/cars/alphard.html</x:v>
      </x:c>
      <x:c r="F7" s="77" t="str">
        <x:v>改善</x:v>
      </x:c>
      <x:c r="G7" s="79" t="n">
        <x:v>38</x:v>
      </x:c>
      <x:c r="H7" s="79" t="n">
        <x:v>12</x:v>
      </x:c>
      <x:c r="I7" s="79" t="n">
        <x:v>30</x:v>
      </x:c>
      <x:c r="J7" s="79" t="n">
        <x:v>0</x:v>
      </x:c>
      <x:c r="K7" s="79" t="n">
        <x:v>0</x:v>
      </x:c>
      <x:c r="L7" s="126"/>
      <x:c r="M7" s="77" t="str">
        <x:v>A</x:v>
      </x:c>
      <x:c r="N7" s="66" t="str">
        <x:v>既存あり・比較画像を転用可</x:v>
      </x:c>
      <x:c r="O7" s="77" t="str">
        <x:v>歴代モデル</x:v>
      </x:c>
      <x:c r="P7" s="79" t="n">
        <x:v>6</x:v>
      </x:c>
      <x:c r="Q7" s="77" t="str">
        <x:v>★★★★★</x:v>
      </x:c>
      <x:c r="R7" s="77" t="str">
        <x:v>公開済み（本体強化）</x:v>
      </x:c>
      <x:c r="S7" s="79" t="n">
        <x:v>68400</x:v>
      </x:c>
      <x:c r="T7" s="77" t="str">
        <x:v>夜間自走 v2 完了</x:v>
      </x:c>
      <x:c r="U7" s="81" t="n">
        <x:v>46256</x:v>
      </x:c>
      <x:c r="V7" s="66" t="str">
        <x:v>B判定。歴代の基本理解は本体に集約。10・20・30・40系を独立した判別カードで明確化。公式発表・カタログ確認。公開日: 2026-08-15。</x:v>
      </x:c>
      <x:c r="W7" s="66" t="str">
        <x:v>合格｜SEO95・編集95・車情報96・UX92・一般94・平均94.4｜Critical 0</x:v>
      </x:c>
      <x:c r="X7" s="79" t="n">
        <x:v>5</x:v>
      </x:c>
      <x:c r="Y7" s="77" t="str">
        <x:f>IF(X7=5,"★★★★★",IF(X7=4,"★★★★☆",IF(X7=3,"★★★☆☆","★★☆☆☆")))</x:f>
        <x:v>★★★★★</x:v>
      </x:c>
      <x:c r="Z7" s="238" t="n">
        <x:v>0</x:v>
      </x:c>
    </x:row>
    <x:row r="8" ht="30" hidden="0" customHeight="1">
      <x:c r="A8" s="75" t="str">
        <x:v>ALPHARD</x:v>
      </x:c>
      <x:c r="B8" s="77" t="str">
        <x:v>★★★★★</x:v>
      </x:c>
      <x:c r="C8" s="66" t="str">
        <x:v>20系</x:v>
      </x:c>
      <x:c r="D8" s="66" t="str">
        <x:v>アルファード 20系</x:v>
      </x:c>
      <x:c r="E8" s="66" t="str">
        <x:v>https://carvista.jp/cars/alphard.html</x:v>
      </x:c>
      <x:c r="F8" s="77" t="str">
        <x:v>改善</x:v>
      </x:c>
      <x:c r="G8" s="79" t="n">
        <x:v>34</x:v>
      </x:c>
      <x:c r="H8" s="79" t="n">
        <x:v>15</x:v>
      </x:c>
      <x:c r="I8" s="79" t="n">
        <x:v>30</x:v>
      </x:c>
      <x:c r="J8" s="79" t="n">
        <x:v>0</x:v>
      </x:c>
      <x:c r="K8" s="79" t="n">
        <x:v>0</x:v>
      </x:c>
      <x:c r="L8" s="126"/>
      <x:c r="M8" s="77" t="str">
        <x:v>A</x:v>
      </x:c>
      <x:c r="N8" s="66" t="str">
        <x:v>既存あり・比較画像を転用可</x:v>
      </x:c>
      <x:c r="O8" s="77" t="str">
        <x:v>世代比較</x:v>
      </x:c>
      <x:c r="P8" s="79" t="n">
        <x:v>6</x:v>
      </x:c>
      <x:c r="Q8" s="77" t="str">
        <x:v>★★★★★</x:v>
      </x:c>
      <x:c r="R8" s="77" t="str">
        <x:v>公開済み（本体強化）</x:v>
      </x:c>
      <x:c r="S8" s="79" t="n">
        <x:v>76500</x:v>
      </x:c>
      <x:c r="T8" s="77" t="str">
        <x:v>夜間自走 v2 完了</x:v>
      </x:c>
      <x:c r="U8" s="81" t="n">
        <x:v>46256</x:v>
      </x:c>
      <x:c r="V8" s="66" t="str">
        <x:v>B判定。20系は歴代理解の一部として本体に統合。2008年発売、ANH20W/GGH20W/ATH20W系を明記。公式発表確認。公開日: 2026-08-15。</x:v>
      </x:c>
      <x:c r="W8" s="66" t="str">
        <x:v>合格｜SEO93・編集95・車情報96・UX92・一般93・平均93.8｜Critical 0</x:v>
      </x:c>
      <x:c r="X8" s="79" t="n">
        <x:v>5</x:v>
      </x:c>
      <x:c r="Y8" s="77" t="str">
        <x:f>IF(X8=5,"★★★★★",IF(X8=4,"★★★★☆",IF(X8=3,"★★★☆☆","★★☆☆☆")))</x:f>
        <x:v>★★★★★</x:v>
      </x:c>
      <x:c r="Z8" s="238" t="n">
        <x:v>0</x:v>
      </x:c>
    </x:row>
    <x:row r="9" ht="30" hidden="0" customHeight="1">
      <x:c r="A9" s="75" t="str">
        <x:v>ALPHARD</x:v>
      </x:c>
      <x:c r="B9" s="77" t="str">
        <x:v>★★★★★</x:v>
      </x:c>
      <x:c r="C9" s="66" t="str">
        <x:v>30系</x:v>
      </x:c>
      <x:c r="D9" s="66" t="str">
        <x:v>アルファード 30系</x:v>
      </x:c>
      <x:c r="E9" s="66" t="str">
        <x:v>https://carvista.jp/cars/alphard.html</x:v>
      </x:c>
      <x:c r="F9" s="77" t="str">
        <x:v>改善</x:v>
      </x:c>
      <x:c r="G9" s="79" t="n">
        <x:v>38</x:v>
      </x:c>
      <x:c r="H9" s="79" t="n">
        <x:v>12</x:v>
      </x:c>
      <x:c r="I9" s="79" t="n">
        <x:v>30</x:v>
      </x:c>
      <x:c r="J9" s="79" t="n">
        <x:v>0</x:v>
      </x:c>
      <x:c r="K9" s="79" t="n">
        <x:v>0</x:v>
      </x:c>
      <x:c r="L9" s="126"/>
      <x:c r="M9" s="77" t="str">
        <x:v>A</x:v>
      </x:c>
      <x:c r="N9" s="66" t="str">
        <x:v>既存あり・比較画像を転用可</x:v>
      </x:c>
      <x:c r="O9" s="77" t="str">
        <x:v>世代比較</x:v>
      </x:c>
      <x:c r="P9" s="79" t="n">
        <x:v>6</x:v>
      </x:c>
      <x:c r="Q9" s="77" t="str">
        <x:v>★★★★★</x:v>
      </x:c>
      <x:c r="R9" s="77" t="str">
        <x:v>公開済み（本体強化）</x:v>
      </x:c>
      <x:c r="S9" s="79" t="n">
        <x:v>68400</x:v>
      </x:c>
      <x:c r="T9" s="77" t="str">
        <x:v>夜間自走 v2 完了</x:v>
      </x:c>
      <x:c r="U9" s="81" t="n">
        <x:v>46256</x:v>
      </x:c>
      <x:c r="V9" s="66" t="str">
        <x:v>B判定。30系は本体の世代カードで基本像を提示し、前期後期だけを深掘りページへ分離。2015年発売・型式を明記。公式発表確認。公開日: 2026-08-15。</x:v>
      </x:c>
      <x:c r="W9" s="66" t="str">
        <x:v>合格｜SEO94・編集95・車情報96・UX92・一般94・平均94.2｜Critical 0</x:v>
      </x:c>
      <x:c r="X9" s="79" t="n">
        <x:v>5</x:v>
      </x:c>
      <x:c r="Y9" s="77" t="str">
        <x:f>IF(X9=5,"★★★★★",IF(X9=4,"★★★★☆",IF(X9=3,"★★★☆☆","★★☆☆☆")))</x:f>
        <x:v>★★★★★</x:v>
      </x:c>
      <x:c r="Z9" s="238" t="n">
        <x:v>0</x:v>
      </x:c>
    </x:row>
    <x:row r="10" ht="30" hidden="0" customHeight="1">
      <x:c r="A10" s="75" t="str">
        <x:v>ALPHARD</x:v>
      </x:c>
      <x:c r="B10" s="77" t="str">
        <x:v>★★★★★</x:v>
      </x:c>
      <x:c r="C10" s="66" t="str">
        <x:v>40系</x:v>
      </x:c>
      <x:c r="D10" s="66" t="str">
        <x:v>アルファード 40系</x:v>
      </x:c>
      <x:c r="E10" s="66" t="str">
        <x:v>https://carvista.jp/cars/alphard.html</x:v>
      </x:c>
      <x:c r="F10" s="77" t="str">
        <x:v>改善</x:v>
      </x:c>
      <x:c r="G10" s="79" t="n">
        <x:v>40</x:v>
      </x:c>
      <x:c r="H10" s="79" t="n">
        <x:v>10</x:v>
      </x:c>
      <x:c r="I10" s="79" t="n">
        <x:v>30</x:v>
      </x:c>
      <x:c r="J10" s="79" t="n">
        <x:v>0</x:v>
      </x:c>
      <x:c r="K10" s="79" t="n">
        <x:v>0</x:v>
      </x:c>
      <x:c r="L10" s="126"/>
      <x:c r="M10" s="77" t="str">
        <x:v>A</x:v>
      </x:c>
      <x:c r="N10" s="66" t="str">
        <x:v>既存あり・比較画像を転用可</x:v>
      </x:c>
      <x:c r="O10" s="77" t="str">
        <x:v>世代比較</x:v>
      </x:c>
      <x:c r="P10" s="79" t="n">
        <x:v>6</x:v>
      </x:c>
      <x:c r="Q10" s="77" t="str">
        <x:v>★★★★★</x:v>
      </x:c>
      <x:c r="R10" s="77" t="str">
        <x:v>公開済み（本体強化）</x:v>
      </x:c>
      <x:c r="S10" s="79" t="n">
        <x:v>60000</x:v>
      </x:c>
      <x:c r="T10" s="77" t="str">
        <x:v>夜間自走 v2 完了</x:v>
      </x:c>
      <x:c r="U10" s="81" t="n">
        <x:v>46256</x:v>
      </x:c>
      <x:c r="V10" s="66" t="str">
        <x:v>B判定。40系は本体で基本見分け・型式・販売開始を提示。逆スラントの縦基調グリルを判別点に採用。公式発表確認。公開日: 2026-08-15。</x:v>
      </x:c>
      <x:c r="W10" s="66" t="str">
        <x:v>合格｜SEO93・編集94・車情報96・UX92・一般93・平均93.6｜Critical 0</x:v>
      </x:c>
      <x:c r="X10" s="79" t="n">
        <x:v>5</x:v>
      </x:c>
      <x:c r="Y10" s="77" t="str">
        <x:f>IF(X10=5,"★★★★★",IF(X10=4,"★★★★☆",IF(X10=3,"★★★☆☆","★★☆☆☆")))</x:f>
        <x:v>★★★★★</x:v>
      </x:c>
      <x:c r="Z10" s="238" t="n">
        <x:v>0</x:v>
      </x:c>
    </x:row>
    <x:row r="11" ht="30" hidden="0" customHeight="1">
      <x:c r="A11" s="75" t="str">
        <x:v>ALPHARD</x:v>
      </x:c>
      <x:c r="B11" s="77" t="str">
        <x:v>★★★★★</x:v>
      </x:c>
      <x:c r="C11" s="66" t="str">
        <x:v>前期・後期</x:v>
      </x:c>
      <x:c r="D11" s="66" t="str">
        <x:v>アルファード 30系 前期 後期 見分け方</x:v>
      </x:c>
      <x:c r="E11" s="66" t="str">
        <x:v>https://carvista.jp/alphard-30-zenki-kouki.html</x:v>
      </x:c>
      <x:c r="F11" s="77" t="str">
        <x:v>改善</x:v>
      </x:c>
      <x:c r="G11" s="79" t="n">
        <x:v>30</x:v>
      </x:c>
      <x:c r="H11" s="79" t="n">
        <x:v>18</x:v>
      </x:c>
      <x:c r="I11" s="79" t="n">
        <x:v>30</x:v>
      </x:c>
      <x:c r="J11" s="79" t="n">
        <x:v>0</x:v>
      </x:c>
      <x:c r="K11" s="79" t="n">
        <x:v>0</x:v>
      </x:c>
      <x:c r="L11" s="126"/>
      <x:c r="M11" s="77" t="str">
        <x:v>A</x:v>
      </x:c>
      <x:c r="N11" s="66" t="str">
        <x:v>既存あり・比較画像を転用可</x:v>
      </x:c>
      <x:c r="O11" s="77" t="str">
        <x:v>前期後期</x:v>
      </x:c>
      <x:c r="P11" s="79" t="n">
        <x:v>6</x:v>
      </x:c>
      <x:c r="Q11" s="77" t="str">
        <x:v>★★★★★</x:v>
      </x:c>
      <x:c r="R11" s="77" t="str">
        <x:v>公開済み（本体＋詳細）</x:v>
      </x:c>
      <x:c r="S11" s="79" t="n">
        <x:v>81000</x:v>
      </x:c>
      <x:c r="T11" s="77" t="str">
        <x:v>夜間自走 v2 完了</x:v>
      </x:c>
      <x:c r="U11" s="81" t="n">
        <x:v>46256</x:v>
      </x:c>
      <x:c r="V11" s="66" t="str">
        <x:v>C判定。30系の概要は本体、2018年改良を軸にした前期・後期の詳細判別は独立URLで維持。本体から内部リンク済み。公式発表確認。公開日: 2026-08-15。</x:v>
      </x:c>
      <x:c r="W11" s="66" t="str">
        <x:v>合格｜SEO95・編集96・車情報97・UX93・一般94・平均95.0｜Critical 0</x:v>
      </x:c>
      <x:c r="X11" s="79" t="n">
        <x:v>5</x:v>
      </x:c>
      <x:c r="Y11" s="77" t="str">
        <x:f>IF(X11=5,"★★★★★",IF(X11=4,"★★★★☆",IF(X11=3,"★★★☆☆","★★☆☆☆")))</x:f>
        <x:v>★★★★★</x:v>
      </x:c>
      <x:c r="Z11" s="238" t="n">
        <x:v>0</x:v>
      </x:c>
    </x:row>
    <x:row r="12" ht="30" hidden="0" customHeight="1">
      <x:c r="A12" s="75" t="str">
        <x:v>ALPHARD</x:v>
      </x:c>
      <x:c r="B12" s="77" t="str">
        <x:v>★★★★★</x:v>
      </x:c>
      <x:c r="C12" s="66" t="str">
        <x:v>見分け方</x:v>
      </x:c>
      <x:c r="D12" s="66" t="str">
        <x:v>アルファード 歴代 見分け方</x:v>
      </x:c>
      <x:c r="E12" s="66" t="str">
        <x:v>https://carvista.jp/cars/alphard.html</x:v>
      </x:c>
      <x:c r="F12" s="77" t="str">
        <x:v>新規</x:v>
      </x:c>
      <x:c r="G12" s="79" t="n">
        <x:v>34</x:v>
      </x:c>
      <x:c r="H12" s="79" t="n">
        <x:v>16</x:v>
      </x:c>
      <x:c r="I12" s="79" t="n">
        <x:v>30</x:v>
      </x:c>
      <x:c r="J12" s="79" t="n">
        <x:v>0</x:v>
      </x:c>
      <x:c r="K12" s="79" t="n">
        <x:v>0</x:v>
      </x:c>
      <x:c r="L12" s="126"/>
      <x:c r="M12" s="77" t="str">
        <x:v>A</x:v>
      </x:c>
      <x:c r="N12" s="66" t="str">
        <x:v>統合・恒久リダイレクト</x:v>
      </x:c>
      <x:c r="O12" s="77" t="str">
        <x:v>見分け方</x:v>
      </x:c>
      <x:c r="P12" s="79" t="n">
        <x:v>6</x:v>
      </x:c>
      <x:c r="Q12" s="77" t="str">
        <x:v>★★★★★</x:v>
      </x:c>
      <x:c r="R12" s="77" t="str">
        <x:v>公開済み</x:v>
      </x:c>
      <x:c r="S12" s="79" t="n">
        <x:v>81600</x:v>
      </x:c>
      <x:c r="T12" s="77" t="str">
        <x:v>公開済み（車種本体へ統合）</x:v>
      </x:c>
      <x:c r="U12" s="81" t="n">
        <x:v>46255</x:v>
      </x:c>
      <x:c r="V12" s="66" t="str">
        <x:v>B判定。10・20・30・40系の基本見分けはALPHARD本体の中心価値として統合。旧URLは恒久リダイレクト。</x:v>
      </x:c>
      <x:c r="W12" s="66" t="str">
        <x:v>本体統合・恒久リダイレクト本番確認済み</x:v>
      </x:c>
      <x:c r="X12" s="79" t="n">
        <x:v>5</x:v>
      </x:c>
      <x:c r="Y12" s="77" t="str">
        <x:f>IF(X12=5,"★★★★★",IF(X12=4,"★★★★☆",IF(X12=3,"★★★☆☆","★★☆☆☆")))</x:f>
        <x:v>★★★★★</x:v>
      </x:c>
      <x:c r="Z12" s="238" t="n">
        <x:v>0</x:v>
      </x:c>
    </x:row>
    <x:row r="13" ht="30" hidden="0" customHeight="1">
      <x:c r="A13" s="75" t="str">
        <x:v>ALPHARD</x:v>
      </x:c>
      <x:c r="B13" s="77" t="str">
        <x:v>★★★★★</x:v>
      </x:c>
      <x:c r="C13" s="66" t="str">
        <x:v>型式</x:v>
      </x:c>
      <x:c r="D13" s="66" t="str">
        <x:v>アルファード 型式 一覧</x:v>
      </x:c>
      <x:c r="E13" s="66" t="str">
        <x:v>https://carvista.jp/cars/alphard.html</x:v>
      </x:c>
      <x:c r="F13" s="77" t="str">
        <x:v>新規</x:v>
      </x:c>
      <x:c r="G13" s="79" t="n">
        <x:v>28</x:v>
      </x:c>
      <x:c r="H13" s="79" t="n">
        <x:v>18</x:v>
      </x:c>
      <x:c r="I13" s="79" t="n">
        <x:v>26</x:v>
      </x:c>
      <x:c r="J13" s="79" t="n">
        <x:v>0</x:v>
      </x:c>
      <x:c r="K13" s="79" t="n">
        <x:v>0</x:v>
      </x:c>
      <x:c r="L13" s="126"/>
      <x:c r="M13" s="77" t="str">
        <x:v>B</x:v>
      </x:c>
      <x:c r="N13" s="66" t="str">
        <x:v>既存あり・一部転用可</x:v>
      </x:c>
      <x:c r="O13" s="77" t="str">
        <x:v>型式</x:v>
      </x:c>
      <x:c r="P13" s="79" t="n">
        <x:v>3</x:v>
      </x:c>
      <x:c r="Q13" s="77" t="str">
        <x:v>★★★☆☆</x:v>
      </x:c>
      <x:c r="R13" s="77" t="str">
        <x:v>未公開</x:v>
      </x:c>
      <x:c r="S13" s="79" t="n">
        <x:v>39312</x:v>
      </x:c>
      <x:c r="T13" s="77" t="str">
        <x:v>未着手</x:v>
      </x:c>
      <x:c r="U13" s="81" t="n">
        <x:v>46255</x:v>
      </x:c>
      <x:c r="V13" s="66" t="str">
        <x:v>初期仮説。キーワード調査後に需要・競合点を更新。</x:v>
      </x:c>
      <x:c r="W13" s="66" t="str">
        <x:v>要確認（7条件）</x:v>
      </x:c>
      <x:c r="X13" s="79" t="n">
        <x:v>5</x:v>
      </x:c>
      <x:c r="Y13" s="77" t="str">
        <x:f>IF(X13=5,"★★★★★",IF(X13=4,"★★★★☆",IF(X13=3,"★★★☆☆","★★☆☆☆")))</x:f>
        <x:v>★★★★★</x:v>
      </x:c>
      <x:c r="Z13" s="238" t="n">
        <x:v>69.8</x:v>
      </x:c>
    </x:row>
    <x:row r="14" ht="30" hidden="0" customHeight="1">
      <x:c r="A14" s="75" t="str">
        <x:v>ALPHARD</x:v>
      </x:c>
      <x:c r="B14" s="77" t="str">
        <x:v>★★★★★</x:v>
      </x:c>
      <x:c r="C14" s="66" t="str">
        <x:v>サイズ比較</x:v>
      </x:c>
      <x:c r="D14" s="66" t="str">
        <x:v>アルファード 歴代 サイズ 比較</x:v>
      </x:c>
      <x:c r="E14" s="66" t="str">
        <x:v>https://carvista.jp/cars/alphard.html</x:v>
      </x:c>
      <x:c r="F14" s="77" t="str">
        <x:v>新規</x:v>
      </x:c>
      <x:c r="G14" s="79" t="n">
        <x:v>25</x:v>
      </x:c>
      <x:c r="H14" s="79" t="n">
        <x:v>20</x:v>
      </x:c>
      <x:c r="I14" s="79" t="n">
        <x:v>28</x:v>
      </x:c>
      <x:c r="J14" s="79" t="n">
        <x:v>0</x:v>
      </x:c>
      <x:c r="K14" s="79" t="n">
        <x:v>0</x:v>
      </x:c>
      <x:c r="L14" s="126"/>
      <x:c r="M14" s="77" t="str">
        <x:v>A</x:v>
      </x:c>
      <x:c r="N14" s="66" t="str">
        <x:v>既存あり・比較画像を転用可</x:v>
      </x:c>
      <x:c r="O14" s="77" t="str">
        <x:v>サイズ比較</x:v>
      </x:c>
      <x:c r="P14" s="79" t="n">
        <x:v>6</x:v>
      </x:c>
      <x:c r="Q14" s="77" t="str">
        <x:v>★★★★★</x:v>
      </x:c>
      <x:c r="R14" s="77" t="str">
        <x:v>未公開</x:v>
      </x:c>
      <x:c r="S14" s="79" t="n">
        <x:v>70000</x:v>
      </x:c>
      <x:c r="T14" s="77" t="str">
        <x:v>未着手</x:v>
      </x:c>
      <x:c r="U14" s="81" t="n">
        <x:v>46255</x:v>
      </x:c>
      <x:c r="V14" s="66" t="str">
        <x:v>初期仮説。キーワード調査後に需要・競合点を更新。</x:v>
      </x:c>
      <x:c r="W14" s="66" t="str">
        <x:v>要確認（7条件）</x:v>
      </x:c>
      <x:c r="X14" s="79" t="n">
        <x:v>5</x:v>
      </x:c>
      <x:c r="Y14" s="77" t="str">
        <x:f>IF(X14=5,"★★★★★",IF(X14=4,"★★★★☆",IF(X14=3,"★★★☆☆","★★☆☆☆")))</x:f>
        <x:v>★★★★★</x:v>
      </x:c>
      <x:c r="Z14" s="238" t="n">
        <x:v>73.9</x:v>
      </x:c>
    </x:row>
    <x:row r="15" ht="30" hidden="0" customHeight="1">
      <x:c r="A15" s="75" t="str">
        <x:v>ALPHARD</x:v>
      </x:c>
      <x:c r="B15" s="77" t="str">
        <x:v>★★★★★</x:v>
      </x:c>
      <x:c r="C15" s="66" t="str">
        <x:v>兄弟車比較</x:v>
      </x:c>
      <x:c r="D15" s="66" t="str">
        <x:v>アルファード ヴェルファイア 違い</x:v>
      </x:c>
      <x:c r="E15" s="66" t="str">
        <x:v>https://carvista.jp/compare-alphard-vellfire.html</x:v>
      </x:c>
      <x:c r="F15" s="77" t="str">
        <x:v>改善</x:v>
      </x:c>
      <x:c r="G15" s="79" t="n">
        <x:v>38</x:v>
      </x:c>
      <x:c r="H15" s="79" t="n">
        <x:v>12</x:v>
      </x:c>
      <x:c r="I15" s="79" t="n">
        <x:v>30</x:v>
      </x:c>
      <x:c r="J15" s="79" t="n">
        <x:v>0</x:v>
      </x:c>
      <x:c r="K15" s="79" t="n">
        <x:v>0</x:v>
      </x:c>
      <x:c r="L15" s="126"/>
      <x:c r="M15" s="77" t="str">
        <x:v>A</x:v>
      </x:c>
      <x:c r="N15" s="66" t="str">
        <x:v>既存あり・比較画像を転用可</x:v>
      </x:c>
      <x:c r="O15" s="77" t="str">
        <x:v>兄弟車比較</x:v>
      </x:c>
      <x:c r="P15" s="79" t="n">
        <x:v>6</x:v>
      </x:c>
      <x:c r="Q15" s="77" t="str">
        <x:v>★★★★★</x:v>
      </x:c>
      <x:c r="R15" s="77" t="str">
        <x:v>公開済み（監査後更新）</x:v>
      </x:c>
      <x:c r="S15" s="79" t="n">
        <x:v>68400</x:v>
      </x:c>
      <x:c r="T15" s="77" t="str">
        <x:v>夜間自走 v2 完了</x:v>
      </x:c>
      <x:c r="U15" s="81" t="n">
        <x:v>46256</x:v>
      </x:c>
      <x:c r="V15" s="66" t="str">
        <x:v>A判定。GA4で比較ページ12表示を確認。VELLFIRE本体からALPHARD・VELLFIRE比較へ内部リンクを追加。兄弟車比較の独立意図を維持。公式トヨタ発表確認。公開日: 2026-08-15。</x:v>
      </x:c>
      <x:c r="W15" s="66" t="str">
        <x:v>合格｜SEO94・編集95・車情報96・UX93・一般94・平均94.4｜Critical 0</x:v>
      </x:c>
      <x:c r="X15" s="79" t="n">
        <x:v>5</x:v>
      </x:c>
      <x:c r="Y15" s="77" t="str">
        <x:f>IF(X15=5,"★★★★★",IF(X15=4,"★★★★☆",IF(X15=3,"★★★☆☆","★★☆☆☆")))</x:f>
        <x:v>★★★★★</x:v>
      </x:c>
      <x:c r="Z15" s="238" t="n">
        <x:v>0</x:v>
      </x:c>
    </x:row>
    <x:row r="16" ht="30" hidden="0" customHeight="1">
      <x:c r="A16" s="75" t="str">
        <x:v>ALPHARD</x:v>
      </x:c>
      <x:c r="B16" s="77" t="str">
        <x:v>★★★★★</x:v>
      </x:c>
      <x:c r="C16" s="66" t="str">
        <x:v>おすすめ年式</x:v>
      </x:c>
      <x:c r="D16" s="66" t="str">
        <x:v>アルファード おすすめ 年式</x:v>
      </x:c>
      <x:c r="E16" s="66" t="str">
        <x:v>https://carvista.jp/cars/alphard.html</x:v>
      </x:c>
      <x:c r="F16" s="77" t="str">
        <x:v>新規</x:v>
      </x:c>
      <x:c r="G16" s="79" t="n">
        <x:v>26</x:v>
      </x:c>
      <x:c r="H16" s="79" t="n">
        <x:v>17</x:v>
      </x:c>
      <x:c r="I16" s="79" t="n">
        <x:v>22</x:v>
      </x:c>
      <x:c r="J16" s="79" t="n">
        <x:v>0</x:v>
      </x:c>
      <x:c r="K16" s="79" t="n">
        <x:v>0</x:v>
      </x:c>
      <x:c r="L16" s="126"/>
      <x:c r="M16" s="77" t="str">
        <x:v>C</x:v>
      </x:c>
      <x:c r="N16" s="66" t="str">
        <x:v>既存あり・一部転用可</x:v>
      </x:c>
      <x:c r="O16" s="77" t="str">
        <x:v>おすすめ年式</x:v>
      </x:c>
      <x:c r="P16" s="79" t="n">
        <x:v>1</x:v>
      </x:c>
      <x:c r="Q16" s="77" t="str">
        <x:v>★★☆☆☆</x:v>
      </x:c>
      <x:c r="R16" s="77" t="str">
        <x:v>未公開</x:v>
      </x:c>
      <x:c r="S16" s="79" t="n">
        <x:v>19448</x:v>
      </x:c>
      <x:c r="T16" s="77" t="str">
        <x:v>未着手</x:v>
      </x:c>
      <x:c r="U16" s="81" t="n">
        <x:v>46255</x:v>
      </x:c>
      <x:c r="V16" s="66" t="str">
        <x:v>初期仮説。キーワード調査後に需要・競合点を更新。</x:v>
      </x:c>
      <x:c r="W16" s="66" t="str">
        <x:v>要確認（7条件）</x:v>
      </x:c>
      <x:c r="X16" s="79" t="n">
        <x:v>5</x:v>
      </x:c>
      <x:c r="Y16" s="77" t="str">
        <x:f>IF(X16=5,"★★★★★",IF(X16=4,"★★★★☆",IF(X16=3,"★★★☆☆","★★☆☆☆")))</x:f>
        <x:v>★★★★★</x:v>
      </x:c>
      <x:c r="Z16" s="238" t="n">
        <x:v>61.7</x:v>
      </x:c>
    </x:row>
    <x:row r="17" ht="30" hidden="0" customHeight="1">
      <x:c r="A17" s="75" t="str">
        <x:v>VOXY</x:v>
      </x:c>
      <x:c r="B17" s="77" t="str">
        <x:v>★★★★★</x:v>
      </x:c>
      <x:c r="C17" s="66" t="str">
        <x:v>歴代</x:v>
      </x:c>
      <x:c r="D17" s="66" t="str">
        <x:v>ヴォクシー 歴代</x:v>
      </x:c>
      <x:c r="E17" s="66" t="str">
        <x:v>https://carvista.jp/cars/voxy.html</x:v>
      </x:c>
      <x:c r="F17" s="77" t="str">
        <x:v>改善</x:v>
      </x:c>
      <x:c r="G17" s="79" t="n">
        <x:v>35</x:v>
      </x:c>
      <x:c r="H17" s="79" t="n">
        <x:v>15</x:v>
      </x:c>
      <x:c r="I17" s="79" t="n">
        <x:v>30</x:v>
      </x:c>
      <x:c r="J17" s="79" t="n">
        <x:v>1</x:v>
      </x:c>
      <x:c r="K17" s="79" t="n">
        <x:v>0</x:v>
      </x:c>
      <x:c r="L17" s="126"/>
      <x:c r="M17" s="77" t="str">
        <x:v>A</x:v>
      </x:c>
      <x:c r="N17" s="66" t="str">
        <x:v>既存あり・比較画像を転用可</x:v>
      </x:c>
      <x:c r="O17" s="77" t="str">
        <x:v>歴代モデル</x:v>
      </x:c>
      <x:c r="P17" s="79" t="n">
        <x:v>6</x:v>
      </x:c>
      <x:c r="Q17" s="77" t="str">
        <x:v>★★★★★</x:v>
      </x:c>
      <x:c r="R17" s="77" t="str">
        <x:v>公開済み（監査後更新）</x:v>
      </x:c>
      <x:c r="S17" s="79" t="n">
        <x:v>78750</x:v>
      </x:c>
      <x:c r="T17" s="77" t="str">
        <x:v>夜間自走 v2 完了</x:v>
      </x:c>
      <x:c r="U17" s="81" t="n">
        <x:v>46256</x:v>
      </x:c>
      <x:c r="V17" s="66" t="str">
        <x:v>B判定。GSCでVOXY歴代の表示を確認。既存70・80・90系ガイドをtitle/descriptionで明確化し、比較ページへ自然に接続。公式トヨタ発表確認。公開日: 2026-08-15。</x:v>
      </x:c>
      <x:c r="W17" s="66" t="str">
        <x:v>合格｜SEO94・編集94・車情報96・UX92・一般93・平均93.8｜Critical 0</x:v>
      </x:c>
      <x:c r="X17" s="79" t="n">
        <x:v>5</x:v>
      </x:c>
      <x:c r="Y17" s="77" t="str">
        <x:f>IF(X17=5,"★★★★★",IF(X17=4,"★★★★☆",IF(X17=3,"★★★☆☆","★★☆☆☆")))</x:f>
        <x:v>★★★★★</x:v>
      </x:c>
      <x:c r="Z17" s="238" t="n">
        <x:v>0</x:v>
      </x:c>
    </x:row>
    <x:row r="18" ht="30" hidden="0" customHeight="1">
      <x:c r="A18" s="75" t="str">
        <x:v>VOXY</x:v>
      </x:c>
      <x:c r="B18" s="77" t="str">
        <x:v>★★★★★</x:v>
      </x:c>
      <x:c r="C18" s="66" t="str">
        <x:v>70系</x:v>
      </x:c>
      <x:c r="D18" s="66" t="str">
        <x:v>ヴォクシー 70系</x:v>
      </x:c>
      <x:c r="E18" s="66" t="str">
        <x:v>https://carvista.jp/cars/voxy.html</x:v>
      </x:c>
      <x:c r="F18" s="77" t="str">
        <x:v>改善</x:v>
      </x:c>
      <x:c r="G18" s="79" t="n">
        <x:v>32</x:v>
      </x:c>
      <x:c r="H18" s="79" t="n">
        <x:v>17</x:v>
      </x:c>
      <x:c r="I18" s="79" t="n">
        <x:v>30</x:v>
      </x:c>
      <x:c r="J18" s="79" t="n">
        <x:v>0</x:v>
      </x:c>
      <x:c r="K18" s="79" t="n">
        <x:v>0</x:v>
      </x:c>
      <x:c r="L18" s="126"/>
      <x:c r="M18" s="77" t="str">
        <x:v>A</x:v>
      </x:c>
      <x:c r="N18" s="66" t="str">
        <x:v>統合・恒久リダイレクト</x:v>
      </x:c>
      <x:c r="O18" s="77" t="str">
        <x:v>世代比較</x:v>
      </x:c>
      <x:c r="P18" s="79" t="n">
        <x:v>6</x:v>
      </x:c>
      <x:c r="Q18" s="77" t="str">
        <x:v>★★★★★</x:v>
      </x:c>
      <x:c r="R18" s="77" t="str">
        <x:v>公開済み</x:v>
      </x:c>
      <x:c r="S18" s="79" t="n">
        <x:v>81600</x:v>
      </x:c>
      <x:c r="T18" s="77" t="str">
        <x:v>公開済み（車種本体へ統合）</x:v>
      </x:c>
      <x:c r="U18" s="81" t="n">
        <x:v>46255</x:v>
      </x:c>
      <x:c r="V18" s="66" t="str">
        <x:v>B判定。70・80・90系の基本見分けはVOXY本体のTimeline・Compare・型式一覧へ統合。旧URLは恒久リダイレクト。</x:v>
      </x:c>
      <x:c r="W18" s="66" t="str">
        <x:v>本体統合・恒久リダイレクト本番確認済み</x:v>
      </x:c>
      <x:c r="X18" s="79" t="n">
        <x:v>5</x:v>
      </x:c>
      <x:c r="Y18" s="77" t="str">
        <x:f>IF(X18=5,"★★★★★",IF(X18=4,"★★★★☆",IF(X18=3,"★★★☆☆","★★☆☆☆")))</x:f>
        <x:v>★★★★★</x:v>
      </x:c>
      <x:c r="Z18" s="238" t="n">
        <x:v>0</x:v>
      </x:c>
    </x:row>
    <x:row r="19" ht="30" hidden="0" customHeight="1">
      <x:c r="A19" s="75" t="str">
        <x:v>VOXY</x:v>
      </x:c>
      <x:c r="B19" s="77" t="str">
        <x:v>★★★★★</x:v>
      </x:c>
      <x:c r="C19" s="66" t="str">
        <x:v>80系</x:v>
      </x:c>
      <x:c r="D19" s="66" t="str">
        <x:v>ヴォクシー 80系</x:v>
      </x:c>
      <x:c r="E19" s="66" t="str">
        <x:v>https://carvista.jp/cars/voxy.html</x:v>
      </x:c>
      <x:c r="F19" s="77" t="str">
        <x:v>改善</x:v>
      </x:c>
      <x:c r="G19" s="79" t="n">
        <x:v>36</x:v>
      </x:c>
      <x:c r="H19" s="79" t="n">
        <x:v>15</x:v>
      </x:c>
      <x:c r="I19" s="79" t="n">
        <x:v>30</x:v>
      </x:c>
      <x:c r="J19" s="79" t="n">
        <x:v>0</x:v>
      </x:c>
      <x:c r="K19" s="79" t="n">
        <x:v>0</x:v>
      </x:c>
      <x:c r="L19" s="126"/>
      <x:c r="M19" s="77" t="str">
        <x:v>A</x:v>
      </x:c>
      <x:c r="N19" s="66" t="str">
        <x:v>統合・恒久リダイレクト</x:v>
      </x:c>
      <x:c r="O19" s="77" t="str">
        <x:v>世代比較</x:v>
      </x:c>
      <x:c r="P19" s="79" t="n">
        <x:v>6</x:v>
      </x:c>
      <x:c r="Q19" s="77" t="str">
        <x:v>★★★★★</x:v>
      </x:c>
      <x:c r="R19" s="77" t="str">
        <x:v>公開済み</x:v>
      </x:c>
      <x:c r="S19" s="79" t="n">
        <x:v>81000</x:v>
      </x:c>
      <x:c r="T19" s="77" t="str">
        <x:v>公開済み（車種本体へ統合）</x:v>
      </x:c>
      <x:c r="U19" s="81" t="n">
        <x:v>46255</x:v>
      </x:c>
      <x:c r="V19" s="66" t="str">
        <x:v>B判定。70・80・90系の基本見分けはVOXY本体のTimeline・Compare・型式一覧へ統合。旧URLは恒久リダイレクト。</x:v>
      </x:c>
      <x:c r="W19" s="66" t="str">
        <x:v>本体統合・恒久リダイレクト本番確認済み</x:v>
      </x:c>
      <x:c r="X19" s="79" t="n">
        <x:v>5</x:v>
      </x:c>
      <x:c r="Y19" s="77" t="str">
        <x:f>IF(X19=5,"★★★★★",IF(X19=4,"★★★★☆",IF(X19=3,"★★★☆☆","★★☆☆☆")))</x:f>
        <x:v>★★★★★</x:v>
      </x:c>
      <x:c r="Z19" s="238" t="n">
        <x:v>0</x:v>
      </x:c>
    </x:row>
    <x:row r="20" ht="30" hidden="0" customHeight="1">
      <x:c r="A20" s="75" t="str">
        <x:v>VOXY</x:v>
      </x:c>
      <x:c r="B20" s="77" t="str">
        <x:v>★★★★★</x:v>
      </x:c>
      <x:c r="C20" s="66" t="str">
        <x:v>90系</x:v>
      </x:c>
      <x:c r="D20" s="66" t="str">
        <x:v>ヴォクシー 90系</x:v>
      </x:c>
      <x:c r="E20" s="66" t="str">
        <x:v>https://carvista.jp/cars/voxy.html</x:v>
      </x:c>
      <x:c r="F20" s="77" t="str">
        <x:v>改善</x:v>
      </x:c>
      <x:c r="G20" s="79" t="n">
        <x:v>38</x:v>
      </x:c>
      <x:c r="H20" s="79" t="n">
        <x:v>14</x:v>
      </x:c>
      <x:c r="I20" s="79" t="n">
        <x:v>30</x:v>
      </x:c>
      <x:c r="J20" s="79" t="n">
        <x:v>0</x:v>
      </x:c>
      <x:c r="K20" s="79" t="n">
        <x:v>0</x:v>
      </x:c>
      <x:c r="L20" s="126"/>
      <x:c r="M20" s="77" t="str">
        <x:v>A</x:v>
      </x:c>
      <x:c r="N20" s="66" t="str">
        <x:v>統合・恒久リダイレクト</x:v>
      </x:c>
      <x:c r="O20" s="77" t="str">
        <x:v>世代比較</x:v>
      </x:c>
      <x:c r="P20" s="79" t="n">
        <x:v>6</x:v>
      </x:c>
      <x:c r="Q20" s="77" t="str">
        <x:v>★★★★★</x:v>
      </x:c>
      <x:c r="R20" s="77" t="str">
        <x:v>公開済み</x:v>
      </x:c>
      <x:c r="S20" s="79" t="n">
        <x:v>79800</x:v>
      </x:c>
      <x:c r="T20" s="77" t="str">
        <x:v>公開済み（車種本体へ統合）</x:v>
      </x:c>
      <x:c r="U20" s="81" t="n">
        <x:v>46255</x:v>
      </x:c>
      <x:c r="V20" s="66" t="str">
        <x:v>B判定。70・80・90系の基本見分けはVOXY本体のTimeline・Compare・型式一覧へ統合。旧URLは恒久リダイレクト。</x:v>
      </x:c>
      <x:c r="W20" s="66" t="str">
        <x:v>本体統合・恒久リダイレクト本番確認済み</x:v>
      </x:c>
      <x:c r="X20" s="79" t="n">
        <x:v>5</x:v>
      </x:c>
      <x:c r="Y20" s="77" t="str">
        <x:f>IF(X20=5,"★★★★★",IF(X20=4,"★★★★☆",IF(X20=3,"★★★☆☆","★★☆☆☆")))</x:f>
        <x:v>★★★★★</x:v>
      </x:c>
      <x:c r="Z20" s="238" t="n">
        <x:v>0</x:v>
      </x:c>
    </x:row>
    <x:row r="21" ht="30" hidden="0" customHeight="1">
      <x:c r="A21" s="75" t="str">
        <x:v>VOXY</x:v>
      </x:c>
      <x:c r="B21" s="77" t="str">
        <x:v>★★★★★</x:v>
      </x:c>
      <x:c r="C21" s="66" t="str">
        <x:v>見分け方</x:v>
      </x:c>
      <x:c r="D21" s="66" t="str">
        <x:v>ヴォクシー 70 80 90 見分け方</x:v>
      </x:c>
      <x:c r="E21" s="66" t="str">
        <x:v>https://carvista.jp/cars/voxy.html</x:v>
      </x:c>
      <x:c r="F21" s="77" t="str">
        <x:v>改善</x:v>
      </x:c>
      <x:c r="G21" s="79" t="n">
        <x:v>34</x:v>
      </x:c>
      <x:c r="H21" s="79" t="n">
        <x:v>18</x:v>
      </x:c>
      <x:c r="I21" s="79" t="n">
        <x:v>30</x:v>
      </x:c>
      <x:c r="J21" s="79" t="n">
        <x:v>0</x:v>
      </x:c>
      <x:c r="K21" s="79" t="n">
        <x:v>0</x:v>
      </x:c>
      <x:c r="L21" s="126"/>
      <x:c r="M21" s="77" t="str">
        <x:v>A</x:v>
      </x:c>
      <x:c r="N21" s="66" t="str">
        <x:v>統合・恒久リダイレクト</x:v>
      </x:c>
      <x:c r="O21" s="77" t="str">
        <x:v>見分け方</x:v>
      </x:c>
      <x:c r="P21" s="79" t="n">
        <x:v>6</x:v>
      </x:c>
      <x:c r="Q21" s="77" t="str">
        <x:v>★★★★★</x:v>
      </x:c>
      <x:c r="R21" s="77" t="str">
        <x:v>公開済み</x:v>
      </x:c>
      <x:c r="S21" s="79" t="n">
        <x:v>91800</x:v>
      </x:c>
      <x:c r="T21" s="77" t="str">
        <x:v>公開済み（車種本体へ統合）</x:v>
      </x:c>
      <x:c r="U21" s="81" t="n">
        <x:v>46255</x:v>
      </x:c>
      <x:c r="V21" s="66" t="str">
        <x:v>B判定。70・80・90系の基本見分けはVOXY本体のTimeline・Compare・型式一覧へ統合。旧URLは恒久リダイレクト。</x:v>
      </x:c>
      <x:c r="W21" s="66" t="str">
        <x:v>本体統合・恒久リダイレクト本番確認済み</x:v>
      </x:c>
      <x:c r="X21" s="79" t="n">
        <x:v>5</x:v>
      </x:c>
      <x:c r="Y21" s="77" t="str">
        <x:f>IF(X21=5,"★★★★★",IF(X21=4,"★★★★☆",IF(X21=3,"★★★☆☆","★★☆☆☆")))</x:f>
        <x:v>★★★★★</x:v>
      </x:c>
      <x:c r="Z21" s="238" t="n">
        <x:v>0</x:v>
      </x:c>
    </x:row>
    <x:row r="22" ht="30" hidden="0" customHeight="1">
      <x:c r="A22" s="75" t="str">
        <x:v>VOXY</x:v>
      </x:c>
      <x:c r="B22" s="77" t="str">
        <x:v>★★★★★</x:v>
      </x:c>
      <x:c r="C22" s="66" t="str">
        <x:v>前期・後期</x:v>
      </x:c>
      <x:c r="D22" s="66" t="str">
        <x:v>ヴォクシー 80系 前期 後期 見分け方</x:v>
      </x:c>
      <x:c r="E22" s="66" t="str">
        <x:v>https://carvista.jp/cars/voxy.html</x:v>
      </x:c>
      <x:c r="F22" s="77" t="str">
        <x:v>新規</x:v>
      </x:c>
      <x:c r="G22" s="79" t="n">
        <x:v>29</x:v>
      </x:c>
      <x:c r="H22" s="79" t="n">
        <x:v>19</x:v>
      </x:c>
      <x:c r="I22" s="79" t="n">
        <x:v>28</x:v>
      </x:c>
      <x:c r="J22" s="79" t="n">
        <x:v>0</x:v>
      </x:c>
      <x:c r="K22" s="79" t="n">
        <x:v>0</x:v>
      </x:c>
      <x:c r="L22" s="126"/>
      <x:c r="M22" s="77" t="str">
        <x:v>A</x:v>
      </x:c>
      <x:c r="N22" s="66" t="str">
        <x:v>既存あり・比較画像を転用可</x:v>
      </x:c>
      <x:c r="O22" s="77" t="str">
        <x:v>前期後期</x:v>
      </x:c>
      <x:c r="P22" s="79" t="n">
        <x:v>6</x:v>
      </x:c>
      <x:c r="Q22" s="77" t="str">
        <x:v>★★★★★</x:v>
      </x:c>
      <x:c r="R22" s="77" t="str">
        <x:v>未公開</x:v>
      </x:c>
      <x:c r="S22" s="79" t="n">
        <x:v>77140</x:v>
      </x:c>
      <x:c r="T22" s="77" t="str">
        <x:v>ASSET_REQUIRED: VOXY 80系前期／後期の統一2枚</x:v>
      </x:c>
      <x:c r="U22" s="81" t="n">
        <x:v>46255</x:v>
      </x:c>
      <x:c r="V22" s="66" t="str">
        <x:v>初期仮説。キーワード調査後に需要・競合点を更新。｜画像Asset制作キュー参照。完成後はASSET_READYへ更新。</x:v>
      </x:c>
      <x:c r="W22" s="66" t="str">
        <x:v>要確認（7条件）</x:v>
      </x:c>
      <x:c r="X22" s="79" t="n">
        <x:v>5</x:v>
      </x:c>
      <x:c r="Y22" s="77" t="str">
        <x:f>IF(X22=5,"★★★★★",IF(X22=4,"★★★★☆",IF(X22=3,"★★★☆☆","★★☆☆☆")))</x:f>
        <x:v>★★★★★</x:v>
      </x:c>
      <x:c r="Z22" s="238" t="n">
        <x:v>76.7</x:v>
      </x:c>
    </x:row>
    <x:row r="23" ht="30" hidden="0" customHeight="1">
      <x:c r="A23" s="75" t="str">
        <x:v>VOXY</x:v>
      </x:c>
      <x:c r="B23" s="77" t="str">
        <x:v>★★★★★</x:v>
      </x:c>
      <x:c r="C23" s="66" t="str">
        <x:v>型式</x:v>
      </x:c>
      <x:c r="D23" s="66" t="str">
        <x:v>ヴォクシー 型式 一覧</x:v>
      </x:c>
      <x:c r="E23" s="66" t="str">
        <x:v>https://carvista.jp/cars/voxy.html</x:v>
      </x:c>
      <x:c r="F23" s="77" t="str">
        <x:v>新規</x:v>
      </x:c>
      <x:c r="G23" s="79" t="n">
        <x:v>26</x:v>
      </x:c>
      <x:c r="H23" s="79" t="n">
        <x:v>19</x:v>
      </x:c>
      <x:c r="I23" s="79" t="n">
        <x:v>26</x:v>
      </x:c>
      <x:c r="J23" s="79" t="n">
        <x:v>0</x:v>
      </x:c>
      <x:c r="K23" s="79" t="n">
        <x:v>0</x:v>
      </x:c>
      <x:c r="L23" s="126"/>
      <x:c r="M23" s="77" t="str">
        <x:v>B</x:v>
      </x:c>
      <x:c r="N23" s="66" t="str">
        <x:v>既存あり・一部転用可</x:v>
      </x:c>
      <x:c r="O23" s="77" t="str">
        <x:v>型式</x:v>
      </x:c>
      <x:c r="P23" s="79" t="n">
        <x:v>3</x:v>
      </x:c>
      <x:c r="Q23" s="77" t="str">
        <x:v>★★★☆☆</x:v>
      </x:c>
      <x:c r="R23" s="77" t="str">
        <x:v>未公開</x:v>
      </x:c>
      <x:c r="S23" s="79" t="n">
        <x:v>38532</x:v>
      </x:c>
      <x:c r="T23" s="77" t="str">
        <x:v>未着手</x:v>
      </x:c>
      <x:c r="U23" s="81" t="n">
        <x:v>46255</x:v>
      </x:c>
      <x:c r="V23" s="66" t="str">
        <x:v>初期仮説。キーワード調査後に需要・競合点を更新。</x:v>
      </x:c>
      <x:c r="W23" s="66" t="str">
        <x:v>要確認（7条件）</x:v>
      </x:c>
      <x:c r="X23" s="79" t="n">
        <x:v>5</x:v>
      </x:c>
      <x:c r="Y23" s="77" t="str">
        <x:f>IF(X23=5,"★★★★★",IF(X23=4,"★★★★☆",IF(X23=3,"★★★☆☆","★★☆☆☆")))</x:f>
        <x:v>★★★★★</x:v>
      </x:c>
      <x:c r="Z23" s="238" t="n">
        <x:v>68.8</x:v>
      </x:c>
    </x:row>
    <x:row r="24" ht="30" hidden="0" customHeight="1">
      <x:c r="A24" s="75" t="str">
        <x:v>VOXY</x:v>
      </x:c>
      <x:c r="B24" s="77" t="str">
        <x:v>★★★★★</x:v>
      </x:c>
      <x:c r="C24" s="66" t="str">
        <x:v>サイズ比較</x:v>
      </x:c>
      <x:c r="D24" s="66" t="str">
        <x:v>ヴォクシー 歴代 サイズ 比較</x:v>
      </x:c>
      <x:c r="E24" s="66" t="str">
        <x:v>https://carvista.jp/cars/voxy.html</x:v>
      </x:c>
      <x:c r="F24" s="77" t="str">
        <x:v>新規</x:v>
      </x:c>
      <x:c r="G24" s="79" t="n">
        <x:v>23</x:v>
      </x:c>
      <x:c r="H24" s="79" t="n">
        <x:v>22</x:v>
      </x:c>
      <x:c r="I24" s="79" t="n">
        <x:v>28</x:v>
      </x:c>
      <x:c r="J24" s="79" t="n">
        <x:v>0</x:v>
      </x:c>
      <x:c r="K24" s="79" t="n">
        <x:v>0</x:v>
      </x:c>
      <x:c r="L24" s="126"/>
      <x:c r="M24" s="77" t="str">
        <x:v>A</x:v>
      </x:c>
      <x:c r="N24" s="66" t="str">
        <x:v>既存あり・比較画像を転用可</x:v>
      </x:c>
      <x:c r="O24" s="77" t="str">
        <x:v>サイズ比較</x:v>
      </x:c>
      <x:c r="P24" s="79" t="n">
        <x:v>6</x:v>
      </x:c>
      <x:c r="Q24" s="77" t="str">
        <x:v>★★★★★</x:v>
      </x:c>
      <x:c r="R24" s="77" t="str">
        <x:v>未公開</x:v>
      </x:c>
      <x:c r="S24" s="79" t="n">
        <x:v>70840</x:v>
      </x:c>
      <x:c r="T24" s="77" t="str">
        <x:v>未着手</x:v>
      </x:c>
      <x:c r="U24" s="81" t="n">
        <x:v>46255</x:v>
      </x:c>
      <x:c r="V24" s="66" t="str">
        <x:v>初期仮説。キーワード調査後に需要・競合点を更新。</x:v>
      </x:c>
      <x:c r="W24" s="66" t="str">
        <x:v>要確認（7条件）</x:v>
      </x:c>
      <x:c r="X24" s="79" t="n">
        <x:v>5</x:v>
      </x:c>
      <x:c r="Y24" s="77" t="str">
        <x:f>IF(X24=5,"★★★★★",IF(X24=4,"★★★★☆",IF(X24=3,"★★★☆☆","★★☆☆☆")))</x:f>
        <x:v>★★★★★</x:v>
      </x:c>
      <x:c r="Z24" s="238" t="n">
        <x:v>73.5</x:v>
      </x:c>
    </x:row>
    <x:row r="25" ht="30" hidden="0" customHeight="1">
      <x:c r="A25" s="75" t="str">
        <x:v>VOXY</x:v>
      </x:c>
      <x:c r="B25" s="77" t="str">
        <x:v>★★★★★</x:v>
      </x:c>
      <x:c r="C25" s="66" t="str">
        <x:v>兄弟車比較</x:v>
      </x:c>
      <x:c r="D25" s="66" t="str">
        <x:v>ヴォクシー ノア 違い</x:v>
      </x:c>
      <x:c r="E25" s="66" t="str">
        <x:v>https://carvista.jp/compare-voxy-noah.html</x:v>
      </x:c>
      <x:c r="F25" s="77" t="str">
        <x:v>改善</x:v>
      </x:c>
      <x:c r="G25" s="79" t="n">
        <x:v>36</x:v>
      </x:c>
      <x:c r="H25" s="79" t="n">
        <x:v>15</x:v>
      </x:c>
      <x:c r="I25" s="79" t="n">
        <x:v>30</x:v>
      </x:c>
      <x:c r="J25" s="79" t="n">
        <x:v>0</x:v>
      </x:c>
      <x:c r="K25" s="79" t="n">
        <x:v>0</x:v>
      </x:c>
      <x:c r="L25" s="126"/>
      <x:c r="M25" s="77" t="str">
        <x:v>A</x:v>
      </x:c>
      <x:c r="N25" s="66" t="str">
        <x:v>既存あり・比較画像を転用可</x:v>
      </x:c>
      <x:c r="O25" s="77" t="str">
        <x:v>兄弟車比較</x:v>
      </x:c>
      <x:c r="P25" s="79" t="n">
        <x:v>6</x:v>
      </x:c>
      <x:c r="Q25" s="77" t="str">
        <x:v>★★★★★</x:v>
      </x:c>
      <x:c r="R25" s="77" t="str">
        <x:v>公開済み</x:v>
      </x:c>
      <x:c r="S25" s="79" t="n">
        <x:v>81000</x:v>
      </x:c>
      <x:c r="T25" s="77" t="str">
        <x:v>公開済み・深掘り候補</x:v>
      </x:c>
      <x:c r="U25" s="81" t="n">
        <x:v>46255</x:v>
      </x:c>
      <x:c r="V25" s="66" t="str">
        <x:v>初期仮説。キーワード調査後に需要・競合点を更新。</x:v>
      </x:c>
      <x:c r="W25" s="66" t="str">
        <x:v>公開済み</x:v>
      </x:c>
      <x:c r="X25" s="79" t="n">
        <x:v>5</x:v>
      </x:c>
      <x:c r="Y25" s="77" t="str">
        <x:f>IF(X25=5,"★★★★★",IF(X25=4,"★★★★☆",IF(X25=3,"★★★☆☆","★★☆☆☆")))</x:f>
        <x:v>★★★★★</x:v>
      </x:c>
      <x:c r="Z25" s="238" t="n">
        <x:v>81.5</x:v>
      </x:c>
    </x:row>
    <x:row r="26" ht="30" hidden="0" customHeight="1">
      <x:c r="A26" s="75" t="str">
        <x:v>VOXY</x:v>
      </x:c>
      <x:c r="B26" s="77" t="str">
        <x:v>★★★★★</x:v>
      </x:c>
      <x:c r="C26" s="66" t="str">
        <x:v>3車種比較</x:v>
      </x:c>
      <x:c r="D26" s="66" t="str">
        <x:v>ヴォクシー ノア エスクァイア 違い</x:v>
      </x:c>
      <x:c r="E26" s="66" t="str">
        <x:v>https://carvista.jp/compare-voxy-noah-esquire.html</x:v>
      </x:c>
      <x:c r="F26" s="77" t="str">
        <x:v>改善</x:v>
      </x:c>
      <x:c r="G26" s="79" t="n">
        <x:v>28</x:v>
      </x:c>
      <x:c r="H26" s="79" t="n">
        <x:v>20</x:v>
      </x:c>
      <x:c r="I26" s="79" t="n">
        <x:v>30</x:v>
      </x:c>
      <x:c r="J26" s="79" t="n">
        <x:v>0</x:v>
      </x:c>
      <x:c r="K26" s="79" t="n">
        <x:v>0</x:v>
      </x:c>
      <x:c r="L26" s="126"/>
      <x:c r="M26" s="77" t="str">
        <x:v>A</x:v>
      </x:c>
      <x:c r="N26" s="66" t="str">
        <x:v>独立維持</x:v>
      </x:c>
      <x:c r="O26" s="77" t="str">
        <x:v>兄弟車比較</x:v>
      </x:c>
      <x:c r="P26" s="79" t="n">
        <x:v>6</x:v>
      </x:c>
      <x:c r="Q26" s="77" t="str">
        <x:v>★★★★★</x:v>
      </x:c>
      <x:c r="R26" s="77" t="str">
        <x:v>公開済み</x:v>
      </x:c>
      <x:c r="S26" s="79" t="n">
        <x:v>84000</x:v>
      </x:c>
      <x:c r="T26" s="77" t="str">
        <x:v>公開済み（独立詳細を維持）</x:v>
      </x:c>
      <x:c r="U26" s="81" t="n">
        <x:v>46255</x:v>
      </x:c>
      <x:c r="V26" s="66" t="str">
        <x:v>A判定。3兄弟の横比較は車種本体を超える独立した比較意図。VOXY本体から自然に誘導する。</x:v>
      </x:c>
      <x:c r="W26" s="66" t="str">
        <x:v>独立比較・本体からの内部リンク確認済み</x:v>
      </x:c>
      <x:c r="X26" s="79" t="n">
        <x:v>5</x:v>
      </x:c>
      <x:c r="Y26" s="77" t="str">
        <x:f>IF(X26=5,"★★★★★",IF(X26=4,"★★★★☆",IF(X26=3,"★★★☆☆","★★☆☆☆")))</x:f>
        <x:v>★★★★★</x:v>
      </x:c>
      <x:c r="Z26" s="238" t="n">
        <x:v>0</x:v>
      </x:c>
    </x:row>
    <x:row r="27" ht="30" hidden="0" customHeight="1">
      <x:c r="A27" s="75" t="str">
        <x:v>SERENA</x:v>
      </x:c>
      <x:c r="B27" s="77" t="str">
        <x:v>★★★★★</x:v>
      </x:c>
      <x:c r="C27" s="66" t="str">
        <x:v>歴代</x:v>
      </x:c>
      <x:c r="D27" s="66" t="str">
        <x:v>セレナ 歴代</x:v>
      </x:c>
      <x:c r="E27" s="66" t="str">
        <x:v>https://carvista.jp/cars/serena.html</x:v>
      </x:c>
      <x:c r="F27" s="77" t="str">
        <x:v>改善</x:v>
      </x:c>
      <x:c r="G27" s="79" t="n">
        <x:v>38</x:v>
      </x:c>
      <x:c r="H27" s="79" t="n">
        <x:v>14</x:v>
      </x:c>
      <x:c r="I27" s="79" t="n">
        <x:v>30</x:v>
      </x:c>
      <x:c r="J27" s="79" t="n">
        <x:v>10</x:v>
      </x:c>
      <x:c r="K27" s="79" t="n">
        <x:v>0</x:v>
      </x:c>
      <x:c r="L27" s="126"/>
      <x:c r="M27" s="77" t="str">
        <x:v>A</x:v>
      </x:c>
      <x:c r="N27" s="66" t="str">
        <x:v>既存あり・比較画像を転用可</x:v>
      </x:c>
      <x:c r="O27" s="77" t="str">
        <x:v>歴代モデル</x:v>
      </x:c>
      <x:c r="P27" s="79" t="n">
        <x:v>6</x:v>
      </x:c>
      <x:c r="Q27" s="77" t="str">
        <x:v>★★★★★</x:v>
      </x:c>
      <x:c r="R27" s="77" t="str">
        <x:v>公開済み（監査後更新）</x:v>
      </x:c>
      <x:c r="S27" s="79" t="n">
        <x:v>79800</x:v>
      </x:c>
      <x:c r="T27" s="77" t="str">
        <x:v>夜間自走 v2 完了</x:v>
      </x:c>
      <x:c r="U27" s="81" t="n">
        <x:v>46256</x:v>
      </x:c>
      <x:c r="V27" s="66" t="str">
        <x:v>B判定。GSCで「serena」10表示を確認。C23〜C28型の型式・販売期間・外観判別を車種本体へ統合。公式日産発表確認。公開日: 2026-08-15。</x:v>
      </x:c>
      <x:c r="W27" s="66" t="str">
        <x:v>合格｜SEO95・編集95・車情報96・UX92・一般94・平均94.4｜Critical 0</x:v>
      </x:c>
      <x:c r="X27" s="79" t="n">
        <x:v>5</x:v>
      </x:c>
      <x:c r="Y27" s="77" t="str">
        <x:f>IF(X27=5,"★★★★★",IF(X27=4,"★★★★☆",IF(X27=3,"★★★☆☆","★★☆☆☆")))</x:f>
        <x:v>★★★★★</x:v>
      </x:c>
      <x:c r="Z27" s="238" t="n">
        <x:v>0</x:v>
      </x:c>
    </x:row>
    <x:row r="28" ht="30" hidden="0" customHeight="1">
      <x:c r="A28" s="75" t="str">
        <x:v>SERENA</x:v>
      </x:c>
      <x:c r="B28" s="77" t="str">
        <x:v>★★★★★</x:v>
      </x:c>
      <x:c r="C28" s="66" t="str">
        <x:v>C27</x:v>
      </x:c>
      <x:c r="D28" s="66" t="str">
        <x:v>セレナ C27</x:v>
      </x:c>
      <x:c r="E28" s="66" t="str">
        <x:v>https://carvista.jp/cars/serena.html</x:v>
      </x:c>
      <x:c r="F28" s="77" t="str">
        <x:v>新規</x:v>
      </x:c>
      <x:c r="G28" s="79" t="n">
        <x:v>34</x:v>
      </x:c>
      <x:c r="H28" s="79" t="n">
        <x:v>15</x:v>
      </x:c>
      <x:c r="I28" s="79" t="n">
        <x:v>30</x:v>
      </x:c>
      <x:c r="J28" s="79" t="n">
        <x:v>0</x:v>
      </x:c>
      <x:c r="K28" s="79" t="n">
        <x:v>0</x:v>
      </x:c>
      <x:c r="L28" s="126"/>
      <x:c r="M28" s="77" t="str">
        <x:v>A</x:v>
      </x:c>
      <x:c r="N28" s="66" t="str">
        <x:v>既存あり・比較画像を転用可</x:v>
      </x:c>
      <x:c r="O28" s="77" t="str">
        <x:v>世代比較</x:v>
      </x:c>
      <x:c r="P28" s="79" t="n">
        <x:v>6</x:v>
      </x:c>
      <x:c r="Q28" s="77" t="str">
        <x:v>★★★★★</x:v>
      </x:c>
      <x:c r="R28" s="77" t="str">
        <x:v>未公開</x:v>
      </x:c>
      <x:c r="S28" s="79" t="n">
        <x:v>76500</x:v>
      </x:c>
      <x:c r="T28" s="77" t="str">
        <x:v>未着手</x:v>
      </x:c>
      <x:c r="U28" s="81" t="n">
        <x:v>46255</x:v>
      </x:c>
      <x:c r="V28" s="66" t="str">
        <x:v>初期仮説。キーワード調査後に需要・競合点を更新。</x:v>
      </x:c>
      <x:c r="W28" s="66" t="str">
        <x:v>要確認（7条件）</x:v>
      </x:c>
      <x:c r="X28" s="79" t="n">
        <x:v>5</x:v>
      </x:c>
      <x:c r="Y28" s="77" t="str">
        <x:f>IF(X28=5,"★★★★★",IF(X28=4,"★★★★☆",IF(X28=3,"★★★☆☆","★★☆☆☆")))</x:f>
        <x:v>★★★★★</x:v>
      </x:c>
      <x:c r="Z28" s="238" t="n">
        <x:v>79.8</x:v>
      </x:c>
    </x:row>
    <x:row r="29" ht="30" hidden="0" customHeight="1">
      <x:c r="A29" s="75" t="str">
        <x:v>SERENA</x:v>
      </x:c>
      <x:c r="B29" s="77" t="str">
        <x:v>★★★★★</x:v>
      </x:c>
      <x:c r="C29" s="66" t="str">
        <x:v>C28</x:v>
      </x:c>
      <x:c r="D29" s="66" t="str">
        <x:v>セレナ C28</x:v>
      </x:c>
      <x:c r="E29" s="66" t="str">
        <x:v>https://carvista.jp/cars/serena.html</x:v>
      </x:c>
      <x:c r="F29" s="77" t="str">
        <x:v>新規</x:v>
      </x:c>
      <x:c r="G29" s="79" t="n">
        <x:v>36</x:v>
      </x:c>
      <x:c r="H29" s="79" t="n">
        <x:v>13</x:v>
      </x:c>
      <x:c r="I29" s="79" t="n">
        <x:v>30</x:v>
      </x:c>
      <x:c r="J29" s="79" t="n">
        <x:v>0</x:v>
      </x:c>
      <x:c r="K29" s="79" t="n">
        <x:v>0</x:v>
      </x:c>
      <x:c r="L29" s="126"/>
      <x:c r="M29" s="77" t="str">
        <x:v>A</x:v>
      </x:c>
      <x:c r="N29" s="66" t="str">
        <x:v>既存あり・比較画像を転用可</x:v>
      </x:c>
      <x:c r="O29" s="77" t="str">
        <x:v>世代比較</x:v>
      </x:c>
      <x:c r="P29" s="79" t="n">
        <x:v>6</x:v>
      </x:c>
      <x:c r="Q29" s="77" t="str">
        <x:v>★★★★★</x:v>
      </x:c>
      <x:c r="R29" s="77" t="str">
        <x:v>未公開</x:v>
      </x:c>
      <x:c r="S29" s="79" t="n">
        <x:v>70200</x:v>
      </x:c>
      <x:c r="T29" s="77" t="str">
        <x:v>未着手</x:v>
      </x:c>
      <x:c r="U29" s="81" t="n">
        <x:v>46255</x:v>
      </x:c>
      <x:c r="V29" s="66" t="str">
        <x:v>初期仮説。キーワード調査後に需要・競合点を更新。</x:v>
      </x:c>
      <x:c r="W29" s="66" t="str">
        <x:v>要確認（7条件）</x:v>
      </x:c>
      <x:c r="X29" s="79" t="n">
        <x:v>5</x:v>
      </x:c>
      <x:c r="Y29" s="77" t="str">
        <x:f>IF(X29=5,"★★★★★",IF(X29=4,"★★★★☆",IF(X29=3,"★★★☆☆","★★☆☆☆")))</x:f>
        <x:v>★★★★★</x:v>
      </x:c>
      <x:c r="Z29" s="238" t="n">
        <x:v>80.2</x:v>
      </x:c>
    </x:row>
    <x:row r="30" ht="30" hidden="0" customHeight="1">
      <x:c r="A30" s="75" t="str">
        <x:v>SERENA</x:v>
      </x:c>
      <x:c r="B30" s="77" t="str">
        <x:v>★★★★★</x:v>
      </x:c>
      <x:c r="C30" s="66" t="str">
        <x:v>見分け方</x:v>
      </x:c>
      <x:c r="D30" s="66" t="str">
        <x:v>セレナ 歴代 見分け方</x:v>
      </x:c>
      <x:c r="E30" s="66" t="str">
        <x:v>https://carvista.jp/cars/serena.html</x:v>
      </x:c>
      <x:c r="F30" s="77" t="str">
        <x:v>新規</x:v>
      </x:c>
      <x:c r="G30" s="79" t="n">
        <x:v>30</x:v>
      </x:c>
      <x:c r="H30" s="79" t="n">
        <x:v>18</x:v>
      </x:c>
      <x:c r="I30" s="79" t="n">
        <x:v>30</x:v>
      </x:c>
      <x:c r="J30" s="79" t="n">
        <x:v>0</x:v>
      </x:c>
      <x:c r="K30" s="79" t="n">
        <x:v>0</x:v>
      </x:c>
      <x:c r="L30" s="126"/>
      <x:c r="M30" s="77" t="str">
        <x:v>A</x:v>
      </x:c>
      <x:c r="N30" s="66" t="str">
        <x:v>既存あり・比較画像を転用可</x:v>
      </x:c>
      <x:c r="O30" s="77" t="str">
        <x:v>見分け方</x:v>
      </x:c>
      <x:c r="P30" s="79" t="n">
        <x:v>6</x:v>
      </x:c>
      <x:c r="Q30" s="77" t="str">
        <x:v>★★★★★</x:v>
      </x:c>
      <x:c r="R30" s="77" t="str">
        <x:v>未公開</x:v>
      </x:c>
      <x:c r="S30" s="79" t="n">
        <x:v>81000</x:v>
      </x:c>
      <x:c r="T30" s="77" t="str">
        <x:v>未着手</x:v>
      </x:c>
      <x:c r="U30" s="81" t="n">
        <x:v>46255</x:v>
      </x:c>
      <x:c r="V30" s="66" t="str">
        <x:v>初期仮説。キーワード調査後に需要・競合点を更新。</x:v>
      </x:c>
      <x:c r="W30" s="66" t="str">
        <x:v>要確認（7条件）</x:v>
      </x:c>
      <x:c r="X30" s="79" t="n">
        <x:v>5</x:v>
      </x:c>
      <x:c r="Y30" s="77" t="str">
        <x:f>IF(X30=5,"★★★★★",IF(X30=4,"★★★★☆",IF(X30=3,"★★★☆☆","★★☆☆☆")))</x:f>
        <x:v>★★★★★</x:v>
      </x:c>
      <x:c r="Z30" s="238" t="n">
        <x:v>78.3</x:v>
      </x:c>
    </x:row>
    <x:row r="31" ht="30" hidden="0" customHeight="1">
      <x:c r="A31" s="75" t="str">
        <x:v>SERENA</x:v>
      </x:c>
      <x:c r="B31" s="77" t="str">
        <x:v>★★★★★</x:v>
      </x:c>
      <x:c r="C31" s="66" t="str">
        <x:v>前期・後期</x:v>
      </x:c>
      <x:c r="D31" s="66" t="str">
        <x:v>セレナ C27 前期 後期 見分け方</x:v>
      </x:c>
      <x:c r="E31" s="66" t="str">
        <x:v>https://carvista.jp/cars/serena.html</x:v>
      </x:c>
      <x:c r="F31" s="77" t="str">
        <x:v>新規</x:v>
      </x:c>
      <x:c r="G31" s="79" t="n">
        <x:v>27</x:v>
      </x:c>
      <x:c r="H31" s="79" t="n">
        <x:v>20</x:v>
      </x:c>
      <x:c r="I31" s="79" t="n">
        <x:v>28</x:v>
      </x:c>
      <x:c r="J31" s="79" t="n">
        <x:v>0</x:v>
      </x:c>
      <x:c r="K31" s="79" t="n">
        <x:v>0</x:v>
      </x:c>
      <x:c r="L31" s="126"/>
      <x:c r="M31" s="77" t="str">
        <x:v>A</x:v>
      </x:c>
      <x:c r="N31" s="66" t="str">
        <x:v>既存あり・比較画像を転用可</x:v>
      </x:c>
      <x:c r="O31" s="77" t="str">
        <x:v>前期後期</x:v>
      </x:c>
      <x:c r="P31" s="79" t="n">
        <x:v>5</x:v>
      </x:c>
      <x:c r="Q31" s="77" t="str">
        <x:v>★★★★☆</x:v>
      </x:c>
      <x:c r="R31" s="77" t="str">
        <x:v>未公開</x:v>
      </x:c>
      <x:c r="S31" s="79" t="n">
        <x:v>60480</x:v>
      </x:c>
      <x:c r="T31" s="77" t="str">
        <x:v>ASSET_REQUIRED: SERENA C27前期／後期の統一2枚</x:v>
      </x:c>
      <x:c r="U31" s="81" t="n">
        <x:v>46255</x:v>
      </x:c>
      <x:c r="V31" s="66" t="str">
        <x:v>初期仮説。キーワード調査後に需要・競合点を更新。｜画像Asset制作キュー参照。完成後はASSET_READYへ更新。</x:v>
      </x:c>
      <x:c r="W31" s="66" t="str">
        <x:v>要確認（7条件）</x:v>
      </x:c>
      <x:c r="X31" s="79" t="n">
        <x:v>5</x:v>
      </x:c>
      <x:c r="Y31" s="77" t="str">
        <x:f>IF(X31=5,"★★★★★",IF(X31=4,"★★★★☆",IF(X31=3,"★★★☆☆","★★☆☆☆")))</x:f>
        <x:v>★★★★★</x:v>
      </x:c>
      <x:c r="Z31" s="238" t="n">
        <x:v>75.6</x:v>
      </x:c>
    </x:row>
    <x:row r="32" ht="30" hidden="0" customHeight="1">
      <x:c r="A32" s="75" t="str">
        <x:v>SERENA</x:v>
      </x:c>
      <x:c r="B32" s="77" t="str">
        <x:v>★★★★★</x:v>
      </x:c>
      <x:c r="C32" s="66" t="str">
        <x:v>型式</x:v>
      </x:c>
      <x:c r="D32" s="66" t="str">
        <x:v>セレナ 型式 一覧</x:v>
      </x:c>
      <x:c r="E32" s="66" t="str">
        <x:v>https://carvista.jp/cars/serena.html</x:v>
      </x:c>
      <x:c r="F32" s="77" t="str">
        <x:v>新規</x:v>
      </x:c>
      <x:c r="G32" s="79" t="n">
        <x:v>25</x:v>
      </x:c>
      <x:c r="H32" s="79" t="n">
        <x:v>19</x:v>
      </x:c>
      <x:c r="I32" s="79" t="n">
        <x:v>25</x:v>
      </x:c>
      <x:c r="J32" s="79" t="n">
        <x:v>0</x:v>
      </x:c>
      <x:c r="K32" s="79" t="n">
        <x:v>0</x:v>
      </x:c>
      <x:c r="L32" s="126"/>
      <x:c r="M32" s="77" t="str">
        <x:v>B</x:v>
      </x:c>
      <x:c r="N32" s="66" t="str">
        <x:v>既存あり・一部転用可</x:v>
      </x:c>
      <x:c r="O32" s="77" t="str">
        <x:v>型式</x:v>
      </x:c>
      <x:c r="P32" s="79" t="n">
        <x:v>3</x:v>
      </x:c>
      <x:c r="Q32" s="77" t="str">
        <x:v>★★★☆☆</x:v>
      </x:c>
      <x:c r="R32" s="77" t="str">
        <x:v>未公開</x:v>
      </x:c>
      <x:c r="S32" s="79" t="n">
        <x:v>35625</x:v>
      </x:c>
      <x:c r="T32" s="77" t="str">
        <x:v>未着手</x:v>
      </x:c>
      <x:c r="U32" s="81" t="n">
        <x:v>46255</x:v>
      </x:c>
      <x:c r="V32" s="66" t="str">
        <x:v>初期仮説。キーワード調査後に需要・競合点を更新。</x:v>
      </x:c>
      <x:c r="W32" s="66" t="str">
        <x:v>要確認（7条件）</x:v>
      </x:c>
      <x:c r="X32" s="79" t="n">
        <x:v>5</x:v>
      </x:c>
      <x:c r="Y32" s="77" t="str">
        <x:f>IF(X32=5,"★★★★★",IF(X32=4,"★★★★☆",IF(X32=3,"★★★☆☆","★★☆☆☆")))</x:f>
        <x:v>★★★★★</x:v>
      </x:c>
      <x:c r="Z32" s="238" t="n">
        <x:v>67.2</x:v>
      </x:c>
    </x:row>
    <x:row r="33" ht="30" hidden="0" customHeight="1">
      <x:c r="A33" s="75" t="str">
        <x:v>SERENA</x:v>
      </x:c>
      <x:c r="B33" s="77" t="str">
        <x:v>★★★★★</x:v>
      </x:c>
      <x:c r="C33" s="66" t="str">
        <x:v>サイズ比較</x:v>
      </x:c>
      <x:c r="D33" s="66" t="str">
        <x:v>セレナ 歴代 サイズ 比較</x:v>
      </x:c>
      <x:c r="E33" s="66" t="str">
        <x:v>https://carvista.jp/cars/serena.html</x:v>
      </x:c>
      <x:c r="F33" s="77" t="str">
        <x:v>新規</x:v>
      </x:c>
      <x:c r="G33" s="79" t="n">
        <x:v>22</x:v>
      </x:c>
      <x:c r="H33" s="79" t="n">
        <x:v>22</x:v>
      </x:c>
      <x:c r="I33" s="79" t="n">
        <x:v>28</x:v>
      </x:c>
      <x:c r="J33" s="79" t="n">
        <x:v>0</x:v>
      </x:c>
      <x:c r="K33" s="79" t="n">
        <x:v>0</x:v>
      </x:c>
      <x:c r="L33" s="126"/>
      <x:c r="M33" s="77" t="str">
        <x:v>A</x:v>
      </x:c>
      <x:c r="N33" s="66" t="str">
        <x:v>既存あり・比較画像を転用可</x:v>
      </x:c>
      <x:c r="O33" s="77" t="str">
        <x:v>サイズ比較</x:v>
      </x:c>
      <x:c r="P33" s="79" t="n">
        <x:v>6</x:v>
      </x:c>
      <x:c r="Q33" s="77" t="str">
        <x:v>★★★★★</x:v>
      </x:c>
      <x:c r="R33" s="77" t="str">
        <x:v>未公開</x:v>
      </x:c>
      <x:c r="S33" s="79" t="n">
        <x:v>67760</x:v>
      </x:c>
      <x:c r="T33" s="77" t="str">
        <x:v>未着手</x:v>
      </x:c>
      <x:c r="U33" s="81" t="n">
        <x:v>46255</x:v>
      </x:c>
      <x:c r="V33" s="66" t="str">
        <x:v>初期仮説。キーワード調査後に需要・競合点を更新。</x:v>
      </x:c>
      <x:c r="W33" s="66" t="str">
        <x:v>要確認（7条件）</x:v>
      </x:c>
      <x:c r="X33" s="79" t="n">
        <x:v>5</x:v>
      </x:c>
      <x:c r="Y33" s="77" t="str">
        <x:f>IF(X33=5,"★★★★★",IF(X33=4,"★★★★☆",IF(X33=3,"★★★☆☆","★★☆☆☆")))</x:f>
        <x:v>★★★★★</x:v>
      </x:c>
      <x:c r="Z33" s="238" t="n">
        <x:v>72.6</x:v>
      </x:c>
    </x:row>
    <x:row r="34" ht="30" hidden="0" customHeight="1">
      <x:c r="A34" s="75" t="str">
        <x:v>SERENA</x:v>
      </x:c>
      <x:c r="B34" s="77" t="str">
        <x:v>★★★★★</x:v>
      </x:c>
      <x:c r="C34" s="66" t="str">
        <x:v>競合比較</x:v>
      </x:c>
      <x:c r="D34" s="66" t="str">
        <x:v>セレナ ノア ステップワゴン 比較</x:v>
      </x:c>
      <x:c r="E34" s="66" t="str">
        <x:v>https://carvista.jp/compare-noah-serena-stepwgn.html</x:v>
      </x:c>
      <x:c r="F34" s="77" t="str">
        <x:v>改善</x:v>
      </x:c>
      <x:c r="G34" s="79" t="n">
        <x:v>30</x:v>
      </x:c>
      <x:c r="H34" s="79" t="n">
        <x:v>18</x:v>
      </x:c>
      <x:c r="I34" s="79" t="n">
        <x:v>30</x:v>
      </x:c>
      <x:c r="J34" s="79" t="n">
        <x:v>0</x:v>
      </x:c>
      <x:c r="K34" s="79" t="n">
        <x:v>0</x:v>
      </x:c>
      <x:c r="L34" s="126"/>
      <x:c r="M34" s="77" t="str">
        <x:v>A</x:v>
      </x:c>
      <x:c r="N34" s="66" t="str">
        <x:v>既存あり・比較画像を転用可</x:v>
      </x:c>
      <x:c r="O34" s="77" t="str">
        <x:v>競合比較</x:v>
      </x:c>
      <x:c r="P34" s="79" t="n">
        <x:v>6</x:v>
      </x:c>
      <x:c r="Q34" s="77" t="str">
        <x:v>★★★★★</x:v>
      </x:c>
      <x:c r="R34" s="77" t="str">
        <x:v>公開済み</x:v>
      </x:c>
      <x:c r="S34" s="79" t="n">
        <x:v>81000</x:v>
      </x:c>
      <x:c r="T34" s="77" t="str">
        <x:v>公開済み・深掘り候補</x:v>
      </x:c>
      <x:c r="U34" s="81" t="n">
        <x:v>46255</x:v>
      </x:c>
      <x:c r="V34" s="66" t="str">
        <x:v>初期仮説。キーワード調査後に需要・競合点を更新。</x:v>
      </x:c>
      <x:c r="W34" s="66" t="str">
        <x:v>公開済み</x:v>
      </x:c>
      <x:c r="X34" s="79" t="n">
        <x:v>5</x:v>
      </x:c>
      <x:c r="Y34" s="77" t="str">
        <x:f>IF(X34=5,"★★★★★",IF(X34=4,"★★★★☆",IF(X34=3,"★★★☆☆","★★☆☆☆")))</x:f>
        <x:v>★★★★★</x:v>
      </x:c>
      <x:c r="Z34" s="238" t="n">
        <x:v>78.3</x:v>
      </x:c>
    </x:row>
    <x:row r="35" ht="30" hidden="0" customHeight="1">
      <x:c r="A35" s="75" t="str">
        <x:v>N-BOX</x:v>
      </x:c>
      <x:c r="B35" s="77" t="str">
        <x:v>★★★★★</x:v>
      </x:c>
      <x:c r="C35" s="66" t="str">
        <x:v>歴代</x:v>
      </x:c>
      <x:c r="D35" s="66" t="str">
        <x:v>N-BOX 歴代</x:v>
      </x:c>
      <x:c r="E35" s="66" t="str">
        <x:v>https://carvista.jp/cars/n-box.html</x:v>
      </x:c>
      <x:c r="F35" s="77" t="str">
        <x:v>改善</x:v>
      </x:c>
      <x:c r="G35" s="79" t="n">
        <x:v>36</x:v>
      </x:c>
      <x:c r="H35" s="79" t="n">
        <x:v>15</x:v>
      </x:c>
      <x:c r="I35" s="79" t="n">
        <x:v>30</x:v>
      </x:c>
      <x:c r="J35" s="79" t="n">
        <x:v>1</x:v>
      </x:c>
      <x:c r="K35" s="79" t="n">
        <x:v>0</x:v>
      </x:c>
      <x:c r="L35" s="126"/>
      <x:c r="M35" s="77" t="str">
        <x:v>A</x:v>
      </x:c>
      <x:c r="N35" s="66" t="str">
        <x:v>既存あり・比較画像を転用可</x:v>
      </x:c>
      <x:c r="O35" s="77" t="str">
        <x:v>歴代モデル</x:v>
      </x:c>
      <x:c r="P35" s="79" t="n">
        <x:v>6</x:v>
      </x:c>
      <x:c r="Q35" s="77" t="str">
        <x:v>★★★★★</x:v>
      </x:c>
      <x:c r="R35" s="77" t="str">
        <x:v>公開済み（監査後更新）</x:v>
      </x:c>
      <x:c r="S35" s="79" t="n">
        <x:v>81000</x:v>
      </x:c>
      <x:c r="T35" s="77" t="str">
        <x:v>夜間自走 v2 完了</x:v>
      </x:c>
      <x:c r="U35" s="81" t="n">
        <x:v>46256</x:v>
      </x:c>
      <x:c r="V35" s="66" t="str">
        <x:v>B判定。GSCでN-BOX歴代の表示を確認。既存Timeline・CompareにJF型式を含むtitle/descriptionを接続。公式Honda発表確認。公開日: 2026-08-15。</x:v>
      </x:c>
      <x:c r="W35" s="66" t="str">
        <x:v>合格｜SEO93・編集94・車情報96・UX92・一般93・平均93.6｜Critical 0</x:v>
      </x:c>
      <x:c r="X35" s="79" t="n">
        <x:v>5</x:v>
      </x:c>
      <x:c r="Y35" s="77" t="str">
        <x:f>IF(X35=5,"★★★★★",IF(X35=4,"★★★★☆",IF(X35=3,"★★★☆☆","★★☆☆☆")))</x:f>
        <x:v>★★★★★</x:v>
      </x:c>
      <x:c r="Z35" s="238" t="n">
        <x:v>0</x:v>
      </x:c>
    </x:row>
    <x:row r="36" ht="30" hidden="0" customHeight="1">
      <x:c r="A36" s="75" t="str">
        <x:v>N-BOX</x:v>
      </x:c>
      <x:c r="B36" s="77" t="str">
        <x:v>★★★★★</x:v>
      </x:c>
      <x:c r="C36" s="66" t="str">
        <x:v>初代・2代目・3代目</x:v>
      </x:c>
      <x:c r="D36" s="66" t="str">
        <x:v>N-BOX 初代 2代目 3代目 違い</x:v>
      </x:c>
      <x:c r="E36" s="66" t="str">
        <x:v>https://carvista.jp/cars/n-box.html</x:v>
      </x:c>
      <x:c r="F36" s="77" t="str">
        <x:v>新規</x:v>
      </x:c>
      <x:c r="G36" s="79" t="n">
        <x:v>31</x:v>
      </x:c>
      <x:c r="H36" s="79" t="n">
        <x:v>18</x:v>
      </x:c>
      <x:c r="I36" s="79" t="n">
        <x:v>30</x:v>
      </x:c>
      <x:c r="J36" s="79" t="n">
        <x:v>0</x:v>
      </x:c>
      <x:c r="K36" s="79" t="n">
        <x:v>0</x:v>
      </x:c>
      <x:c r="L36" s="126"/>
      <x:c r="M36" s="77" t="str">
        <x:v>A</x:v>
      </x:c>
      <x:c r="N36" s="66" t="str">
        <x:v>統合・恒久リダイレクト</x:v>
      </x:c>
      <x:c r="O36" s="77" t="str">
        <x:v>世代比較</x:v>
      </x:c>
      <x:c r="P36" s="79" t="n">
        <x:v>6</x:v>
      </x:c>
      <x:c r="Q36" s="77" t="str">
        <x:v>★★★★★</x:v>
      </x:c>
      <x:c r="R36" s="77" t="str">
        <x:v>公開済み</x:v>
      </x:c>
      <x:c r="S36" s="79" t="n">
        <x:v>83700</x:v>
      </x:c>
      <x:c r="T36" s="77" t="str">
        <x:v>公開済み（車種本体へ統合）</x:v>
      </x:c>
      <x:c r="U36" s="81" t="n">
        <x:v>46255</x:v>
      </x:c>
      <x:c r="V36" s="66" t="str">
        <x:v>B判定。初代〜3代目の違いはN-BOX本体の中心価値としてTimeline・Compare・型式一覧へ統合。旧URLは恒久リダイレクト。</x:v>
      </x:c>
      <x:c r="W36" s="66" t="str">
        <x:v>本体統合・恒久リダイレクト本番確認済み</x:v>
      </x:c>
      <x:c r="X36" s="79" t="n">
        <x:v>5</x:v>
      </x:c>
      <x:c r="Y36" s="77" t="str">
        <x:f>IF(X36=5,"★★★★★",IF(X36=4,"★★★★☆",IF(X36=3,"★★★☆☆","★★☆☆☆")))</x:f>
        <x:v>★★★★★</x:v>
      </x:c>
      <x:c r="Z36" s="238" t="n">
        <x:v>0</x:v>
      </x:c>
    </x:row>
    <x:row r="37" ht="30" hidden="0" customHeight="1">
      <x:c r="A37" s="75" t="str">
        <x:v>N-BOX</x:v>
      </x:c>
      <x:c r="B37" s="77" t="str">
        <x:v>★★★★★</x:v>
      </x:c>
      <x:c r="C37" s="66" t="str">
        <x:v>見分け方</x:v>
      </x:c>
      <x:c r="D37" s="66" t="str">
        <x:v>N-BOX 歴代 見分け方</x:v>
      </x:c>
      <x:c r="E37" s="66" t="str">
        <x:v>https://carvista.jp/cars/n-box.html</x:v>
      </x:c>
      <x:c r="F37" s="77" t="str">
        <x:v>新規</x:v>
      </x:c>
      <x:c r="G37" s="79" t="n">
        <x:v>30</x:v>
      </x:c>
      <x:c r="H37" s="79" t="n">
        <x:v>18</x:v>
      </x:c>
      <x:c r="I37" s="79" t="n">
        <x:v>30</x:v>
      </x:c>
      <x:c r="J37" s="79" t="n">
        <x:v>0</x:v>
      </x:c>
      <x:c r="K37" s="79" t="n">
        <x:v>0</x:v>
      </x:c>
      <x:c r="L37" s="126"/>
      <x:c r="M37" s="77" t="str">
        <x:v>A</x:v>
      </x:c>
      <x:c r="N37" s="66" t="str">
        <x:v>既存あり・比較画像を転用可</x:v>
      </x:c>
      <x:c r="O37" s="77" t="str">
        <x:v>見分け方</x:v>
      </x:c>
      <x:c r="P37" s="79" t="n">
        <x:v>6</x:v>
      </x:c>
      <x:c r="Q37" s="77" t="str">
        <x:v>★★★★★</x:v>
      </x:c>
      <x:c r="R37" s="77" t="str">
        <x:v>未公開</x:v>
      </x:c>
      <x:c r="S37" s="79" t="n">
        <x:v>81000</x:v>
      </x:c>
      <x:c r="T37" s="77" t="str">
        <x:v>未着手</x:v>
      </x:c>
      <x:c r="U37" s="81" t="n">
        <x:v>46255</x:v>
      </x:c>
      <x:c r="V37" s="66" t="str">
        <x:v>初期仮説。キーワード調査後に需要・競合点を更新。</x:v>
      </x:c>
      <x:c r="W37" s="66" t="str">
        <x:v>要確認（7条件）</x:v>
      </x:c>
      <x:c r="X37" s="79" t="n">
        <x:v>5</x:v>
      </x:c>
      <x:c r="Y37" s="77" t="str">
        <x:f>IF(X37=5,"★★★★★",IF(X37=4,"★★★★☆",IF(X37=3,"★★★☆☆","★★☆☆☆")))</x:f>
        <x:v>★★★★★</x:v>
      </x:c>
      <x:c r="Z37" s="238" t="n">
        <x:v>78.3</x:v>
      </x:c>
    </x:row>
    <x:row r="38" ht="30" hidden="0" customHeight="1">
      <x:c r="A38" s="75" t="str">
        <x:v>N-BOX</x:v>
      </x:c>
      <x:c r="B38" s="77" t="str">
        <x:v>★★★★★</x:v>
      </x:c>
      <x:c r="C38" s="66" t="str">
        <x:v>前期・後期</x:v>
      </x:c>
      <x:c r="D38" s="66" t="str">
        <x:v>N-BOX 前期 後期 見分け方</x:v>
      </x:c>
      <x:c r="E38" s="66" t="str">
        <x:v>https://carvista.jp/cars/n-box.html</x:v>
      </x:c>
      <x:c r="F38" s="77" t="str">
        <x:v>新規</x:v>
      </x:c>
      <x:c r="G38" s="79" t="n">
        <x:v>25</x:v>
      </x:c>
      <x:c r="H38" s="79" t="n">
        <x:v>20</x:v>
      </x:c>
      <x:c r="I38" s="79" t="n">
        <x:v>28</x:v>
      </x:c>
      <x:c r="J38" s="79" t="n">
        <x:v>0</x:v>
      </x:c>
      <x:c r="K38" s="79" t="n">
        <x:v>0</x:v>
      </x:c>
      <x:c r="L38" s="126"/>
      <x:c r="M38" s="77" t="str">
        <x:v>A</x:v>
      </x:c>
      <x:c r="N38" s="66" t="str">
        <x:v>既存あり・比較画像を転用可</x:v>
      </x:c>
      <x:c r="O38" s="77" t="str">
        <x:v>前期後期</x:v>
      </x:c>
      <x:c r="P38" s="79" t="n">
        <x:v>6</x:v>
      </x:c>
      <x:c r="Q38" s="77" t="str">
        <x:v>★★★★★</x:v>
      </x:c>
      <x:c r="R38" s="77" t="str">
        <x:v>未公開</x:v>
      </x:c>
      <x:c r="S38" s="79" t="n">
        <x:v>70000</x:v>
      </x:c>
      <x:c r="T38" s="77" t="str">
        <x:v>ASSET_READY（Custom前後期2枚・公開済み）</x:v>
      </x:c>
      <x:c r="U38" s="81" t="n">
        <x:v>46255</x:v>
      </x:c>
      <x:c r="V38" s="66" t="str">
        <x:v>Asset完成・公開: /n-box-jf3-zenki-kouki.html｜採用: Custom FF・NA／前期2017.09〜2020.12.24／後期2020.12.25〜2023.10.05／前期・後期Asset保存済み｜公式: Honda 2017発売・2020 MMC・2023 3代目発売資料</x:v>
      </x:c>
      <x:c r="W38" s="66" t="str">
        <x:v>要確認（7条件）</x:v>
      </x:c>
      <x:c r="X38" s="79" t="n">
        <x:v>5</x:v>
      </x:c>
      <x:c r="Y38" s="77" t="str">
        <x:f>IF(X38=5,"★★★★★",IF(X38=4,"★★★★☆",IF(X38=3,"★★★☆☆","★★☆☆☆")))</x:f>
        <x:v>★★★★★</x:v>
      </x:c>
      <x:c r="Z38" s="238" t="n">
        <x:v>73.9</x:v>
      </x:c>
    </x:row>
    <x:row r="39" ht="30" hidden="0" customHeight="1">
      <x:c r="A39" s="75" t="str">
        <x:v>N-BOX</x:v>
      </x:c>
      <x:c r="B39" s="77" t="str">
        <x:v>★★★★★</x:v>
      </x:c>
      <x:c r="C39" s="66" t="str">
        <x:v>型式</x:v>
      </x:c>
      <x:c r="D39" s="66" t="str">
        <x:v>N-BOX 型式 一覧</x:v>
      </x:c>
      <x:c r="E39" s="66" t="str">
        <x:v>https://carvista.jp/cars/n-box.html</x:v>
      </x:c>
      <x:c r="F39" s="77" t="str">
        <x:v>新規</x:v>
      </x:c>
      <x:c r="G39" s="79" t="n">
        <x:v>22</x:v>
      </x:c>
      <x:c r="H39" s="79" t="n">
        <x:v>20</x:v>
      </x:c>
      <x:c r="I39" s="79" t="n">
        <x:v>25</x:v>
      </x:c>
      <x:c r="J39" s="79" t="n">
        <x:v>0</x:v>
      </x:c>
      <x:c r="K39" s="79" t="n">
        <x:v>0</x:v>
      </x:c>
      <x:c r="L39" s="126"/>
      <x:c r="M39" s="77" t="str">
        <x:v>B</x:v>
      </x:c>
      <x:c r="N39" s="66" t="str">
        <x:v>既存あり・一部転用可</x:v>
      </x:c>
      <x:c r="O39" s="77" t="str">
        <x:v>型式</x:v>
      </x:c>
      <x:c r="P39" s="79" t="n">
        <x:v>3</x:v>
      </x:c>
      <x:c r="Q39" s="77" t="str">
        <x:v>★★★☆☆</x:v>
      </x:c>
      <x:c r="R39" s="77" t="str">
        <x:v>未公開</x:v>
      </x:c>
      <x:c r="S39" s="79" t="n">
        <x:v>33000</x:v>
      </x:c>
      <x:c r="T39" s="77" t="str">
        <x:v>未着手</x:v>
      </x:c>
      <x:c r="U39" s="81" t="n">
        <x:v>46255</x:v>
      </x:c>
      <x:c r="V39" s="66" t="str">
        <x:v>初期仮説。キーワード調査後に需要・競合点を更新。</x:v>
      </x:c>
      <x:c r="W39" s="66" t="str">
        <x:v>要確認（7条件）</x:v>
      </x:c>
      <x:c r="X39" s="79" t="n">
        <x:v>5</x:v>
      </x:c>
      <x:c r="Y39" s="77" t="str">
        <x:f>IF(X39=5,"★★★★★",IF(X39=4,"★★★★☆",IF(X39=3,"★★★☆☆","★★☆☆☆")))</x:f>
        <x:v>★★★★★</x:v>
      </x:c>
      <x:c r="Z39" s="238" t="n">
        <x:v>65.3</x:v>
      </x:c>
    </x:row>
    <x:row r="40" ht="30" hidden="0" customHeight="1">
      <x:c r="A40" s="75" t="str">
        <x:v>N-BOX</x:v>
      </x:c>
      <x:c r="B40" s="77" t="str">
        <x:v>★★★★★</x:v>
      </x:c>
      <x:c r="C40" s="66" t="str">
        <x:v>サイズ比較</x:v>
      </x:c>
      <x:c r="D40" s="66" t="str">
        <x:v>N-BOX スペーシア サイズ 比較</x:v>
      </x:c>
      <x:c r="E40" s="66" t="str">
        <x:v>https://carvista.jp/compare-n-box-spacia.html</x:v>
      </x:c>
      <x:c r="F40" s="77" t="str">
        <x:v>改善</x:v>
      </x:c>
      <x:c r="G40" s="79" t="n">
        <x:v>26</x:v>
      </x:c>
      <x:c r="H40" s="79" t="n">
        <x:v>20</x:v>
      </x:c>
      <x:c r="I40" s="79" t="n">
        <x:v>30</x:v>
      </x:c>
      <x:c r="J40" s="79" t="n">
        <x:v>0</x:v>
      </x:c>
      <x:c r="K40" s="79" t="n">
        <x:v>0</x:v>
      </x:c>
      <x:c r="L40" s="126"/>
      <x:c r="M40" s="77" t="str">
        <x:v>A</x:v>
      </x:c>
      <x:c r="N40" s="66" t="str">
        <x:v>既存あり・比較画像を転用可</x:v>
      </x:c>
      <x:c r="O40" s="77" t="str">
        <x:v>サイズ比較</x:v>
      </x:c>
      <x:c r="P40" s="79" t="n">
        <x:v>6</x:v>
      </x:c>
      <x:c r="Q40" s="77" t="str">
        <x:v>★★★★★</x:v>
      </x:c>
      <x:c r="R40" s="77" t="str">
        <x:v>公開済み</x:v>
      </x:c>
      <x:c r="S40" s="79" t="n">
        <x:v>78000</x:v>
      </x:c>
      <x:c r="T40" s="77" t="str">
        <x:v>公開済み・深掘り候補</x:v>
      </x:c>
      <x:c r="U40" s="81" t="n">
        <x:v>46255</x:v>
      </x:c>
      <x:c r="V40" s="66" t="str">
        <x:v>初期仮説。キーワード調査後に需要・競合点を更新。</x:v>
      </x:c>
      <x:c r="W40" s="66" t="str">
        <x:v>公開済み</x:v>
      </x:c>
      <x:c r="X40" s="79" t="n">
        <x:v>5</x:v>
      </x:c>
      <x:c r="Y40" s="77" t="str">
        <x:f>IF(X40=5,"★★★★★",IF(X40=4,"★★★★☆",IF(X40=3,"★★★☆☆","★★☆☆☆")))</x:f>
        <x:v>★★★★★</x:v>
      </x:c>
      <x:c r="Z40" s="238" t="n">
        <x:v>76.1</x:v>
      </x:c>
    </x:row>
    <x:row r="41" ht="30" hidden="0" customHeight="1">
      <x:c r="A41" s="75" t="str">
        <x:v>N-BOX</x:v>
      </x:c>
      <x:c r="B41" s="77" t="str">
        <x:v>★★★★★</x:v>
      </x:c>
      <x:c r="C41" s="66" t="str">
        <x:v>兄弟車比較</x:v>
      </x:c>
      <x:c r="D41" s="66" t="str">
        <x:v>N-BOX スペーシア 違い</x:v>
      </x:c>
      <x:c r="E41" s="66" t="str">
        <x:v>https://carvista.jp/compare-n-box-spacia.html</x:v>
      </x:c>
      <x:c r="F41" s="77" t="str">
        <x:v>改善</x:v>
      </x:c>
      <x:c r="G41" s="79" t="n">
        <x:v>30</x:v>
      </x:c>
      <x:c r="H41" s="79" t="n">
        <x:v>18</x:v>
      </x:c>
      <x:c r="I41" s="79" t="n">
        <x:v>30</x:v>
      </x:c>
      <x:c r="J41" s="79" t="n">
        <x:v>0</x:v>
      </x:c>
      <x:c r="K41" s="79" t="n">
        <x:v>0</x:v>
      </x:c>
      <x:c r="L41" s="126"/>
      <x:c r="M41" s="77" t="str">
        <x:v>A</x:v>
      </x:c>
      <x:c r="N41" s="66" t="str">
        <x:v>既存あり・比較画像を転用可</x:v>
      </x:c>
      <x:c r="O41" s="77" t="str">
        <x:v>兄弟車比較</x:v>
      </x:c>
      <x:c r="P41" s="79" t="n">
        <x:v>6</x:v>
      </x:c>
      <x:c r="Q41" s="77" t="str">
        <x:v>★★★★★</x:v>
      </x:c>
      <x:c r="R41" s="77" t="str">
        <x:v>公開済み</x:v>
      </x:c>
      <x:c r="S41" s="79" t="n">
        <x:v>81000</x:v>
      </x:c>
      <x:c r="T41" s="77" t="str">
        <x:v>公開済み・深掘り候補</x:v>
      </x:c>
      <x:c r="U41" s="81" t="n">
        <x:v>46255</x:v>
      </x:c>
      <x:c r="V41" s="66" t="str">
        <x:v>初期仮説。キーワード調査後に需要・競合点を更新。</x:v>
      </x:c>
      <x:c r="W41" s="66" t="str">
        <x:v>公開済み</x:v>
      </x:c>
      <x:c r="X41" s="79" t="n">
        <x:v>5</x:v>
      </x:c>
      <x:c r="Y41" s="77" t="str">
        <x:f>IF(X41=5,"★★★★★",IF(X41=4,"★★★★☆",IF(X41=3,"★★★☆☆","★★☆☆☆")))</x:f>
        <x:v>★★★★★</x:v>
      </x:c>
      <x:c r="Z41" s="238" t="n">
        <x:v>78.3</x:v>
      </x:c>
    </x:row>
    <x:row r="42" ht="30" hidden="0" customHeight="1">
      <x:c r="A42" s="75" t="str">
        <x:v>N-BOX</x:v>
      </x:c>
      <x:c r="B42" s="77" t="str">
        <x:v>★★★★★</x:v>
      </x:c>
      <x:c r="C42" s="66" t="str">
        <x:v>おすすめ年式</x:v>
      </x:c>
      <x:c r="D42" s="66" t="str">
        <x:v>N-BOX おすすめ 年式</x:v>
      </x:c>
      <x:c r="E42" s="66" t="str">
        <x:v>https://carvista.jp/cars/n-box.html</x:v>
      </x:c>
      <x:c r="F42" s="77" t="str">
        <x:v>新規</x:v>
      </x:c>
      <x:c r="G42" s="79" t="n">
        <x:v>24</x:v>
      </x:c>
      <x:c r="H42" s="79" t="n">
        <x:v>19</x:v>
      </x:c>
      <x:c r="I42" s="79" t="n">
        <x:v>22</x:v>
      </x:c>
      <x:c r="J42" s="79" t="n">
        <x:v>0</x:v>
      </x:c>
      <x:c r="K42" s="79" t="n">
        <x:v>0</x:v>
      </x:c>
      <x:c r="L42" s="126"/>
      <x:c r="M42" s="77" t="str">
        <x:v>C</x:v>
      </x:c>
      <x:c r="N42" s="66" t="str">
        <x:v>既存あり・一部転用可</x:v>
      </x:c>
      <x:c r="O42" s="77" t="str">
        <x:v>おすすめ年式</x:v>
      </x:c>
      <x:c r="P42" s="79" t="n">
        <x:v>1</x:v>
      </x:c>
      <x:c r="Q42" s="77" t="str">
        <x:v>★★☆☆☆</x:v>
      </x:c>
      <x:c r="R42" s="77" t="str">
        <x:v>未公開</x:v>
      </x:c>
      <x:c r="S42" s="79" t="n">
        <x:v>20064</x:v>
      </x:c>
      <x:c r="T42" s="77" t="str">
        <x:v>未着手</x:v>
      </x:c>
      <x:c r="U42" s="81" t="n">
        <x:v>46255</x:v>
      </x:c>
      <x:c r="V42" s="66" t="str">
        <x:v>初期仮説。キーワード調査後に需要・競合点を更新。</x:v>
      </x:c>
      <x:c r="W42" s="66" t="str">
        <x:v>要確認（7条件）</x:v>
      </x:c>
      <x:c r="X42" s="79" t="n">
        <x:v>5</x:v>
      </x:c>
      <x:c r="Y42" s="77" t="str">
        <x:f>IF(X42=5,"★★★★★",IF(X42=4,"★★★★☆",IF(X42=3,"★★★☆☆","★★☆☆☆")))</x:f>
        <x:v>★★★★★</x:v>
      </x:c>
      <x:c r="Z42" s="238" t="n">
        <x:v>61.3</x:v>
      </x:c>
    </x:row>
    <x:row r="43" ht="30" hidden="0" customHeight="1">
      <x:c r="A43" s="75" t="str">
        <x:v>SPACIA</x:v>
      </x:c>
      <x:c r="B43" s="77" t="str">
        <x:v>★★★★★</x:v>
      </x:c>
      <x:c r="C43" s="66" t="str">
        <x:v>歴代</x:v>
      </x:c>
      <x:c r="D43" s="66" t="str">
        <x:v>スペーシア 歴代</x:v>
      </x:c>
      <x:c r="E43" s="66" t="str">
        <x:v>https://carvista.jp/cars/spacia.html</x:v>
      </x:c>
      <x:c r="F43" s="77" t="str">
        <x:v>改善</x:v>
      </x:c>
      <x:c r="G43" s="79" t="n">
        <x:v>32</x:v>
      </x:c>
      <x:c r="H43" s="79" t="n">
        <x:v>17</x:v>
      </x:c>
      <x:c r="I43" s="79" t="n">
        <x:v>30</x:v>
      </x:c>
      <x:c r="J43" s="79" t="n">
        <x:v>0</x:v>
      </x:c>
      <x:c r="K43" s="79" t="n">
        <x:v>0</x:v>
      </x:c>
      <x:c r="L43" s="126"/>
      <x:c r="M43" s="77" t="str">
        <x:v>A</x:v>
      </x:c>
      <x:c r="N43" s="66" t="str">
        <x:v>既存あり・比較画像を転用可</x:v>
      </x:c>
      <x:c r="O43" s="77" t="str">
        <x:v>歴代モデル</x:v>
      </x:c>
      <x:c r="P43" s="79" t="n">
        <x:v>6</x:v>
      </x:c>
      <x:c r="Q43" s="77" t="str">
        <x:v>★★★★★</x:v>
      </x:c>
      <x:c r="R43" s="77" t="str">
        <x:v>公開済み</x:v>
      </x:c>
      <x:c r="S43" s="79" t="n">
        <x:v>81600</x:v>
      </x:c>
      <x:c r="T43" s="77" t="str">
        <x:v>公開済み・深掘り候補</x:v>
      </x:c>
      <x:c r="U43" s="81" t="n">
        <x:v>46255</x:v>
      </x:c>
      <x:c r="V43" s="66" t="str">
        <x:v>初期仮説。キーワード調査後に需要・競合点を更新。</x:v>
      </x:c>
      <x:c r="W43" s="66" t="str">
        <x:v>公開済み</x:v>
      </x:c>
      <x:c r="X43" s="79" t="n">
        <x:v>4</x:v>
      </x:c>
      <x:c r="Y43" s="77" t="str">
        <x:f>IF(X43=5,"★★★★★",IF(X43=4,"★★★★☆",IF(X43=3,"★★★☆☆","★★☆☆☆")))</x:f>
        <x:v>★★★★☆</x:v>
      </x:c>
      <x:c r="Z43" s="238" t="n">
        <x:v>77.3</x:v>
      </x:c>
    </x:row>
    <x:row r="44" ht="30" hidden="0" customHeight="1">
      <x:c r="A44" s="75" t="str">
        <x:v>SPACIA</x:v>
      </x:c>
      <x:c r="B44" s="77" t="str">
        <x:v>★★★★★</x:v>
      </x:c>
      <x:c r="C44" s="66" t="str">
        <x:v>見分け方</x:v>
      </x:c>
      <x:c r="D44" s="66" t="str">
        <x:v>スペーシア 歴代 見分け方</x:v>
      </x:c>
      <x:c r="E44" s="66" t="str">
        <x:v>https://carvista.jp/cars/spacia.html</x:v>
      </x:c>
      <x:c r="F44" s="77" t="str">
        <x:v>新規</x:v>
      </x:c>
      <x:c r="G44" s="79" t="n">
        <x:v>26</x:v>
      </x:c>
      <x:c r="H44" s="79" t="n">
        <x:v>20</x:v>
      </x:c>
      <x:c r="I44" s="79" t="n">
        <x:v>30</x:v>
      </x:c>
      <x:c r="J44" s="79" t="n">
        <x:v>0</x:v>
      </x:c>
      <x:c r="K44" s="79" t="n">
        <x:v>0</x:v>
      </x:c>
      <x:c r="L44" s="126"/>
      <x:c r="M44" s="77" t="str">
        <x:v>A</x:v>
      </x:c>
      <x:c r="N44" s="66" t="str">
        <x:v>既存あり・比較画像を転用可</x:v>
      </x:c>
      <x:c r="O44" s="77" t="str">
        <x:v>見分け方</x:v>
      </x:c>
      <x:c r="P44" s="79" t="n">
        <x:v>6</x:v>
      </x:c>
      <x:c r="Q44" s="77" t="str">
        <x:v>★★★★★</x:v>
      </x:c>
      <x:c r="R44" s="77" t="str">
        <x:v>未公開</x:v>
      </x:c>
      <x:c r="S44" s="79" t="n">
        <x:v>78000</x:v>
      </x:c>
      <x:c r="T44" s="77" t="str">
        <x:v>未着手</x:v>
      </x:c>
      <x:c r="U44" s="81" t="n">
        <x:v>46255</x:v>
      </x:c>
      <x:c r="V44" s="66" t="str">
        <x:v>初期仮説。キーワード調査後に需要・競合点を更新。</x:v>
      </x:c>
      <x:c r="W44" s="66" t="str">
        <x:v>要確認（7条件）</x:v>
      </x:c>
      <x:c r="X44" s="79" t="n">
        <x:v>4</x:v>
      </x:c>
      <x:c r="Y44" s="77" t="str">
        <x:f>IF(X44=5,"★★★★★",IF(X44=4,"★★★★☆",IF(X44=3,"★★★☆☆","★★☆☆☆")))</x:f>
        <x:v>★★★★☆</x:v>
      </x:c>
      <x:c r="Z44" s="238" t="n">
        <x:v>74.1</x:v>
      </x:c>
    </x:row>
    <x:row r="45" ht="30" hidden="0" customHeight="1">
      <x:c r="A45" s="75" t="str">
        <x:v>SPACIA</x:v>
      </x:c>
      <x:c r="B45" s="77" t="str">
        <x:v>★★★★★</x:v>
      </x:c>
      <x:c r="C45" s="66" t="str">
        <x:v>前期・後期</x:v>
      </x:c>
      <x:c r="D45" s="66" t="str">
        <x:v>スペーシア 前期 後期 見分け方</x:v>
      </x:c>
      <x:c r="E45" s="66" t="str">
        <x:v>https://carvista.jp/cars/spacia.html</x:v>
      </x:c>
      <x:c r="F45" s="77" t="str">
        <x:v>新規</x:v>
      </x:c>
      <x:c r="G45" s="79" t="n">
        <x:v>23</x:v>
      </x:c>
      <x:c r="H45" s="79" t="n">
        <x:v>21</x:v>
      </x:c>
      <x:c r="I45" s="79" t="n">
        <x:v>27</x:v>
      </x:c>
      <x:c r="J45" s="79" t="n">
        <x:v>0</x:v>
      </x:c>
      <x:c r="K45" s="79" t="n">
        <x:v>0</x:v>
      </x:c>
      <x:c r="L45" s="126"/>
      <x:c r="M45" s="77" t="str">
        <x:v>A</x:v>
      </x:c>
      <x:c r="N45" s="66" t="str">
        <x:v>既存あり・比較画像を転用可</x:v>
      </x:c>
      <x:c r="O45" s="77" t="str">
        <x:v>前期後期</x:v>
      </x:c>
      <x:c r="P45" s="79" t="n">
        <x:v>6</x:v>
      </x:c>
      <x:c r="Q45" s="77" t="str">
        <x:v>★★★★★</x:v>
      </x:c>
      <x:c r="R45" s="77" t="str">
        <x:v>未公開</x:v>
      </x:c>
      <x:c r="S45" s="79" t="n">
        <x:v>65205</x:v>
      </x:c>
      <x:c r="T45" s="77" t="str">
        <x:v>未着手</x:v>
      </x:c>
      <x:c r="U45" s="81" t="n">
        <x:v>46255</x:v>
      </x:c>
      <x:c r="V45" s="66" t="str">
        <x:v>初期仮説。キーワード調査後に需要・競合点を更新。</x:v>
      </x:c>
      <x:c r="W45" s="66" t="str">
        <x:v>要確認（7条件）</x:v>
      </x:c>
      <x:c r="X45" s="79" t="n">
        <x:v>4</x:v>
      </x:c>
      <x:c r="Y45" s="77" t="str">
        <x:f>IF(X45=5,"★★★★★",IF(X45=4,"★★★★☆",IF(X45=3,"★★★☆☆","★★☆☆☆")))</x:f>
        <x:v>★★★★☆</x:v>
      </x:c>
      <x:c r="Z45" s="238" t="n">
        <x:v>70.1</x:v>
      </x:c>
    </x:row>
    <x:row r="46" ht="30" hidden="0" customHeight="1">
      <x:c r="A46" s="75" t="str">
        <x:v>SPACIA</x:v>
      </x:c>
      <x:c r="B46" s="77" t="str">
        <x:v>★★★★★</x:v>
      </x:c>
      <x:c r="C46" s="66" t="str">
        <x:v>型式</x:v>
      </x:c>
      <x:c r="D46" s="66" t="str">
        <x:v>スペーシア 型式 一覧</x:v>
      </x:c>
      <x:c r="E46" s="66" t="str">
        <x:v>https://carvista.jp/cars/spacia.html</x:v>
      </x:c>
      <x:c r="F46" s="77" t="str">
        <x:v>新規</x:v>
      </x:c>
      <x:c r="G46" s="79" t="n">
        <x:v>20</x:v>
      </x:c>
      <x:c r="H46" s="79" t="n">
        <x:v>22</x:v>
      </x:c>
      <x:c r="I46" s="79" t="n">
        <x:v>25</x:v>
      </x:c>
      <x:c r="J46" s="79" t="n">
        <x:v>0</x:v>
      </x:c>
      <x:c r="K46" s="79" t="n">
        <x:v>0</x:v>
      </x:c>
      <x:c r="L46" s="126"/>
      <x:c r="M46" s="77" t="str">
        <x:v>B</x:v>
      </x:c>
      <x:c r="N46" s="66" t="str">
        <x:v>既存あり・一部転用可</x:v>
      </x:c>
      <x:c r="O46" s="77" t="str">
        <x:v>型式</x:v>
      </x:c>
      <x:c r="P46" s="79" t="n">
        <x:v>3</x:v>
      </x:c>
      <x:c r="Q46" s="77" t="str">
        <x:v>★★★☆☆</x:v>
      </x:c>
      <x:c r="R46" s="77" t="str">
        <x:v>未公開</x:v>
      </x:c>
      <x:c r="S46" s="79" t="n">
        <x:v>33000</x:v>
      </x:c>
      <x:c r="T46" s="77" t="str">
        <x:v>未着手</x:v>
      </x:c>
      <x:c r="U46" s="81" t="n">
        <x:v>46255</x:v>
      </x:c>
      <x:c r="V46" s="66" t="str">
        <x:v>初期仮説。キーワード調査後に需要・競合点を更新。</x:v>
      </x:c>
      <x:c r="W46" s="66" t="str">
        <x:v>要確認（7条件）</x:v>
      </x:c>
      <x:c r="X46" s="79" t="n">
        <x:v>4</x:v>
      </x:c>
      <x:c r="Y46" s="77" t="str">
        <x:f>IF(X46=5,"★★★★★",IF(X46=4,"★★★★☆",IF(X46=3,"★★★☆☆","★★☆☆☆")))</x:f>
        <x:v>★★★★☆</x:v>
      </x:c>
      <x:c r="Z46" s="238" t="n">
        <x:v>62.8</x:v>
      </x:c>
    </x:row>
    <x:row r="47" ht="30" hidden="0" customHeight="1">
      <x:c r="A47" s="75" t="str">
        <x:v>SPACIA</x:v>
      </x:c>
      <x:c r="B47" s="77" t="str">
        <x:v>★★★★★</x:v>
      </x:c>
      <x:c r="C47" s="66" t="str">
        <x:v>サイズ比較</x:v>
      </x:c>
      <x:c r="D47" s="66" t="str">
        <x:v>スペーシア N-BOX サイズ 比較</x:v>
      </x:c>
      <x:c r="E47" s="66" t="str">
        <x:v>https://carvista.jp/compare-n-box-spacia.html</x:v>
      </x:c>
      <x:c r="F47" s="77" t="str">
        <x:v>改善</x:v>
      </x:c>
      <x:c r="G47" s="79" t="n">
        <x:v>24</x:v>
      </x:c>
      <x:c r="H47" s="79" t="n">
        <x:v>21</x:v>
      </x:c>
      <x:c r="I47" s="79" t="n">
        <x:v>30</x:v>
      </x:c>
      <x:c r="J47" s="79" t="n">
        <x:v>0</x:v>
      </x:c>
      <x:c r="K47" s="79" t="n">
        <x:v>0</x:v>
      </x:c>
      <x:c r="L47" s="126"/>
      <x:c r="M47" s="77" t="str">
        <x:v>A</x:v>
      </x:c>
      <x:c r="N47" s="66" t="str">
        <x:v>既存あり・比較画像を転用可</x:v>
      </x:c>
      <x:c r="O47" s="77" t="str">
        <x:v>サイズ比較</x:v>
      </x:c>
      <x:c r="P47" s="79" t="n">
        <x:v>6</x:v>
      </x:c>
      <x:c r="Q47" s="77" t="str">
        <x:v>★★★★★</x:v>
      </x:c>
      <x:c r="R47" s="77" t="str">
        <x:v>公開済み</x:v>
      </x:c>
      <x:c r="S47" s="79" t="n">
        <x:v>75600</x:v>
      </x:c>
      <x:c r="T47" s="77" t="str">
        <x:v>公開済み・深掘り候補</x:v>
      </x:c>
      <x:c r="U47" s="81" t="n">
        <x:v>46255</x:v>
      </x:c>
      <x:c r="V47" s="66" t="str">
        <x:v>初期仮説。キーワード調査後に需要・競合点を更新。</x:v>
      </x:c>
      <x:c r="W47" s="66" t="str">
        <x:v>公開済み</x:v>
      </x:c>
      <x:c r="X47" s="79" t="n">
        <x:v>4</x:v>
      </x:c>
      <x:c r="Y47" s="77" t="str">
        <x:f>IF(X47=5,"★★★★★",IF(X47=4,"★★★★☆",IF(X47=3,"★★★☆☆","★★☆☆☆")))</x:f>
        <x:v>★★★★☆</x:v>
      </x:c>
      <x:c r="Z47" s="238" t="n">
        <x:v>73</x:v>
      </x:c>
    </x:row>
    <x:row r="48" ht="30" hidden="0" customHeight="1">
      <x:c r="A48" s="75" t="str">
        <x:v>SPACIA</x:v>
      </x:c>
      <x:c r="B48" s="77" t="str">
        <x:v>★★★★★</x:v>
      </x:c>
      <x:c r="C48" s="66" t="str">
        <x:v>おすすめ年式</x:v>
      </x:c>
      <x:c r="D48" s="66" t="str">
        <x:v>スペーシア おすすめ 年式</x:v>
      </x:c>
      <x:c r="E48" s="66" t="str">
        <x:v>https://carvista.jp/cars/spacia.html</x:v>
      </x:c>
      <x:c r="F48" s="77" t="str">
        <x:v>新規</x:v>
      </x:c>
      <x:c r="G48" s="79" t="n">
        <x:v>20</x:v>
      </x:c>
      <x:c r="H48" s="79" t="n">
        <x:v>22</x:v>
      </x:c>
      <x:c r="I48" s="79" t="n">
        <x:v>22</x:v>
      </x:c>
      <x:c r="J48" s="79" t="n">
        <x:v>0</x:v>
      </x:c>
      <x:c r="K48" s="79" t="n">
        <x:v>0</x:v>
      </x:c>
      <x:c r="L48" s="126"/>
      <x:c r="M48" s="77" t="str">
        <x:v>C</x:v>
      </x:c>
      <x:c r="N48" s="66" t="str">
        <x:v>既存あり・一部転用可</x:v>
      </x:c>
      <x:c r="O48" s="77" t="str">
        <x:v>おすすめ年式</x:v>
      </x:c>
      <x:c r="P48" s="79" t="n">
        <x:v>1</x:v>
      </x:c>
      <x:c r="Q48" s="77" t="str">
        <x:v>★★☆☆☆</x:v>
      </x:c>
      <x:c r="R48" s="77" t="str">
        <x:v>未公開</x:v>
      </x:c>
      <x:c r="S48" s="79" t="n">
        <x:v>19360</x:v>
      </x:c>
      <x:c r="T48" s="77" t="str">
        <x:v>未着手</x:v>
      </x:c>
      <x:c r="U48" s="81" t="n">
        <x:v>46255</x:v>
      </x:c>
      <x:c r="V48" s="66" t="str">
        <x:v>初期仮説。キーワード調査後に需要・競合点を更新。</x:v>
      </x:c>
      <x:c r="W48" s="66" t="str">
        <x:v>要確認（7条件）</x:v>
      </x:c>
      <x:c r="X48" s="79" t="n">
        <x:v>4</x:v>
      </x:c>
      <x:c r="Y48" s="77" t="str">
        <x:f>IF(X48=5,"★★★★★",IF(X48=4,"★★★★☆",IF(X48=3,"★★★☆☆","★★☆☆☆")))</x:f>
        <x:v>★★★★☆</x:v>
      </x:c>
      <x:c r="Z48" s="238" t="n">
        <x:v>57.8</x:v>
      </x:c>
    </x:row>
    <x:row r="49" ht="30" hidden="0" customHeight="1">
      <x:c r="A49" s="75" t="str">
        <x:v>FREED</x:v>
      </x:c>
      <x:c r="B49" s="77" t="str">
        <x:v>★★★★★</x:v>
      </x:c>
      <x:c r="C49" s="66" t="str">
        <x:v>歴代</x:v>
      </x:c>
      <x:c r="D49" s="66" t="str">
        <x:v>フリード 歴代</x:v>
      </x:c>
      <x:c r="E49" s="66" t="str">
        <x:v>https://carvista.jp/cars/freed.html</x:v>
      </x:c>
      <x:c r="F49" s="77" t="str">
        <x:v>改善</x:v>
      </x:c>
      <x:c r="G49" s="79" t="n">
        <x:v>34</x:v>
      </x:c>
      <x:c r="H49" s="79" t="n">
        <x:v>16</x:v>
      </x:c>
      <x:c r="I49" s="79" t="n">
        <x:v>30</x:v>
      </x:c>
      <x:c r="J49" s="79" t="n">
        <x:v>0</x:v>
      </x:c>
      <x:c r="K49" s="79" t="n">
        <x:v>0</x:v>
      </x:c>
      <x:c r="L49" s="126"/>
      <x:c r="M49" s="77" t="str">
        <x:v>A</x:v>
      </x:c>
      <x:c r="N49" s="66" t="str">
        <x:v>既存あり・比較画像を転用可</x:v>
      </x:c>
      <x:c r="O49" s="77" t="str">
        <x:v>歴代モデル</x:v>
      </x:c>
      <x:c r="P49" s="79" t="n">
        <x:v>6</x:v>
      </x:c>
      <x:c r="Q49" s="77" t="str">
        <x:v>★★★★★</x:v>
      </x:c>
      <x:c r="R49" s="77" t="str">
        <x:v>公開済み</x:v>
      </x:c>
      <x:c r="S49" s="79" t="n">
        <x:v>81600</x:v>
      </x:c>
      <x:c r="T49" s="77" t="str">
        <x:v>公開済み・深掘り候補</x:v>
      </x:c>
      <x:c r="U49" s="81" t="n">
        <x:v>46255</x:v>
      </x:c>
      <x:c r="V49" s="66" t="str">
        <x:v>初期仮説。キーワード調査後に需要・競合点を更新。</x:v>
      </x:c>
      <x:c r="W49" s="66" t="str">
        <x:v>公開済み</x:v>
      </x:c>
      <x:c r="X49" s="79" t="n">
        <x:v>4</x:v>
      </x:c>
      <x:c r="Y49" s="77" t="str">
        <x:f>IF(X49=5,"★★★★★",IF(X49=4,"★★★★☆",IF(X49=3,"★★★☆☆","★★☆☆☆")))</x:f>
        <x:v>★★★★☆</x:v>
      </x:c>
      <x:c r="Z49" s="238" t="n">
        <x:v>78.4</x:v>
      </x:c>
    </x:row>
    <x:row r="50" ht="30" hidden="0" customHeight="1">
      <x:c r="A50" s="75" t="str">
        <x:v>FREED</x:v>
      </x:c>
      <x:c r="B50" s="77" t="str">
        <x:v>★★★★★</x:v>
      </x:c>
      <x:c r="C50" s="66" t="str">
        <x:v>初代・2代目・3代目</x:v>
      </x:c>
      <x:c r="D50" s="66" t="str">
        <x:v>フリード 初代 2代目 3代目 違い</x:v>
      </x:c>
      <x:c r="E50" s="66" t="str">
        <x:v>https://carvista.jp/cars/freed.html</x:v>
      </x:c>
      <x:c r="F50" s="77" t="str">
        <x:v>新規</x:v>
      </x:c>
      <x:c r="G50" s="79" t="n">
        <x:v>29</x:v>
      </x:c>
      <x:c r="H50" s="79" t="n">
        <x:v>19</x:v>
      </x:c>
      <x:c r="I50" s="79" t="n">
        <x:v>30</x:v>
      </x:c>
      <x:c r="J50" s="79" t="n">
        <x:v>0</x:v>
      </x:c>
      <x:c r="K50" s="79" t="n">
        <x:v>0</x:v>
      </x:c>
      <x:c r="L50" s="126"/>
      <x:c r="M50" s="77" t="str">
        <x:v>A</x:v>
      </x:c>
      <x:c r="N50" s="66" t="str">
        <x:v>既存あり・比較画像を転用可</x:v>
      </x:c>
      <x:c r="O50" s="77" t="str">
        <x:v>世代比較</x:v>
      </x:c>
      <x:c r="P50" s="79" t="n">
        <x:v>6</x:v>
      </x:c>
      <x:c r="Q50" s="77" t="str">
        <x:v>★★★★★</x:v>
      </x:c>
      <x:c r="R50" s="77" t="str">
        <x:v>未公開</x:v>
      </x:c>
      <x:c r="S50" s="79" t="n">
        <x:v>82650</x:v>
      </x:c>
      <x:c r="T50" s="77" t="str">
        <x:v>未着手</x:v>
      </x:c>
      <x:c r="U50" s="81" t="n">
        <x:v>46255</x:v>
      </x:c>
      <x:c r="V50" s="66" t="str">
        <x:v>初期仮説。キーワード調査後に需要・競合点を更新。</x:v>
      </x:c>
      <x:c r="W50" s="66" t="str">
        <x:v>要確認（7条件）</x:v>
      </x:c>
      <x:c r="X50" s="79" t="n">
        <x:v>4</x:v>
      </x:c>
      <x:c r="Y50" s="77" t="str">
        <x:f>IF(X50=5,"★★★★★",IF(X50=4,"★★★★☆",IF(X50=3,"★★★☆☆","★★☆☆☆")))</x:f>
        <x:v>★★★★☆</x:v>
      </x:c>
      <x:c r="Z50" s="238" t="n">
        <x:v>76</x:v>
      </x:c>
    </x:row>
    <x:row r="51" ht="30" hidden="0" customHeight="1">
      <x:c r="A51" s="75" t="str">
        <x:v>FREED</x:v>
      </x:c>
      <x:c r="B51" s="77" t="str">
        <x:v>★★★★★</x:v>
      </x:c>
      <x:c r="C51" s="66" t="str">
        <x:v>見分け方</x:v>
      </x:c>
      <x:c r="D51" s="66" t="str">
        <x:v>フリード 歴代 見分け方</x:v>
      </x:c>
      <x:c r="E51" s="66" t="str">
        <x:v>https://carvista.jp/cars/freed.html</x:v>
      </x:c>
      <x:c r="F51" s="77" t="str">
        <x:v>新規</x:v>
      </x:c>
      <x:c r="G51" s="79" t="n">
        <x:v>27</x:v>
      </x:c>
      <x:c r="H51" s="79" t="n">
        <x:v>20</x:v>
      </x:c>
      <x:c r="I51" s="79" t="n">
        <x:v>30</x:v>
      </x:c>
      <x:c r="J51" s="79" t="n">
        <x:v>0</x:v>
      </x:c>
      <x:c r="K51" s="79" t="n">
        <x:v>0</x:v>
      </x:c>
      <x:c r="L51" s="126"/>
      <x:c r="M51" s="77" t="str">
        <x:v>A</x:v>
      </x:c>
      <x:c r="N51" s="66" t="str">
        <x:v>既存あり・比較画像を転用可</x:v>
      </x:c>
      <x:c r="O51" s="77" t="str">
        <x:v>見分け方</x:v>
      </x:c>
      <x:c r="P51" s="79" t="n">
        <x:v>6</x:v>
      </x:c>
      <x:c r="Q51" s="77" t="str">
        <x:v>★★★★★</x:v>
      </x:c>
      <x:c r="R51" s="77" t="str">
        <x:v>未公開</x:v>
      </x:c>
      <x:c r="S51" s="79" t="n">
        <x:v>81000</x:v>
      </x:c>
      <x:c r="T51" s="77" t="str">
        <x:v>未着手</x:v>
      </x:c>
      <x:c r="U51" s="81" t="n">
        <x:v>46255</x:v>
      </x:c>
      <x:c r="V51" s="66" t="str">
        <x:v>初期仮説。キーワード調査後に需要・競合点を更新。</x:v>
      </x:c>
      <x:c r="W51" s="66" t="str">
        <x:v>要確認（7条件）</x:v>
      </x:c>
      <x:c r="X51" s="79" t="n">
        <x:v>4</x:v>
      </x:c>
      <x:c r="Y51" s="77" t="str">
        <x:f>IF(X51=5,"★★★★★",IF(X51=4,"★★★★☆",IF(X51=3,"★★★☆☆","★★☆☆☆")))</x:f>
        <x:v>★★★★☆</x:v>
      </x:c>
      <x:c r="Z51" s="238" t="n">
        <x:v>75</x:v>
      </x:c>
    </x:row>
    <x:row r="52" ht="30" hidden="0" customHeight="1">
      <x:c r="A52" s="75" t="str">
        <x:v>FREED</x:v>
      </x:c>
      <x:c r="B52" s="77" t="str">
        <x:v>★★★★★</x:v>
      </x:c>
      <x:c r="C52" s="66" t="str">
        <x:v>前期・後期</x:v>
      </x:c>
      <x:c r="D52" s="66" t="str">
        <x:v>フリード 前期 後期 見分け方</x:v>
      </x:c>
      <x:c r="E52" s="66" t="str">
        <x:v>https://carvista.jp/cars/freed.html</x:v>
      </x:c>
      <x:c r="F52" s="77" t="str">
        <x:v>新規</x:v>
      </x:c>
      <x:c r="G52" s="79" t="n">
        <x:v>22</x:v>
      </x:c>
      <x:c r="H52" s="79" t="n">
        <x:v>22</x:v>
      </x:c>
      <x:c r="I52" s="79" t="n">
        <x:v>27</x:v>
      </x:c>
      <x:c r="J52" s="79" t="n">
        <x:v>0</x:v>
      </x:c>
      <x:c r="K52" s="79" t="n">
        <x:v>0</x:v>
      </x:c>
      <x:c r="L52" s="126"/>
      <x:c r="M52" s="77" t="str">
        <x:v>A</x:v>
      </x:c>
      <x:c r="N52" s="66" t="str">
        <x:v>既存あり・比較画像を転用可</x:v>
      </x:c>
      <x:c r="O52" s="77" t="str">
        <x:v>前期後期</x:v>
      </x:c>
      <x:c r="P52" s="79" t="n">
        <x:v>6</x:v>
      </x:c>
      <x:c r="Q52" s="77" t="str">
        <x:v>★★★★★</x:v>
      </x:c>
      <x:c r="R52" s="77" t="str">
        <x:v>未公開</x:v>
      </x:c>
      <x:c r="S52" s="79" t="n">
        <x:v>65340</x:v>
      </x:c>
      <x:c r="T52" s="77" t="str">
        <x:v>未着手</x:v>
      </x:c>
      <x:c r="U52" s="81" t="n">
        <x:v>46255</x:v>
      </x:c>
      <x:c r="V52" s="66" t="str">
        <x:v>初期仮説。キーワード調査後に需要・競合点を更新。</x:v>
      </x:c>
      <x:c r="W52" s="66" t="str">
        <x:v>要確認（7条件）</x:v>
      </x:c>
      <x:c r="X52" s="79" t="n">
        <x:v>4</x:v>
      </x:c>
      <x:c r="Y52" s="77" t="str">
        <x:f>IF(X52=5,"★★★★★",IF(X52=4,"★★★★☆",IF(X52=3,"★★★☆☆","★★☆☆☆")))</x:f>
        <x:v>★★★★☆</x:v>
      </x:c>
      <x:c r="Z52" s="238" t="n">
        <x:v>69.9</x:v>
      </x:c>
    </x:row>
    <x:row r="53" ht="30" hidden="0" customHeight="1">
      <x:c r="A53" s="75" t="str">
        <x:v>FREED</x:v>
      </x:c>
      <x:c r="B53" s="77" t="str">
        <x:v>★★★★★</x:v>
      </x:c>
      <x:c r="C53" s="66" t="str">
        <x:v>型式</x:v>
      </x:c>
      <x:c r="D53" s="66" t="str">
        <x:v>フリード 型式 一覧</x:v>
      </x:c>
      <x:c r="E53" s="66" t="str">
        <x:v>https://carvista.jp/cars/freed.html</x:v>
      </x:c>
      <x:c r="F53" s="77" t="str">
        <x:v>新規</x:v>
      </x:c>
      <x:c r="G53" s="79" t="n">
        <x:v>22</x:v>
      </x:c>
      <x:c r="H53" s="79" t="n">
        <x:v>21</x:v>
      </x:c>
      <x:c r="I53" s="79" t="n">
        <x:v>25</x:v>
      </x:c>
      <x:c r="J53" s="79" t="n">
        <x:v>0</x:v>
      </x:c>
      <x:c r="K53" s="79" t="n">
        <x:v>0</x:v>
      </x:c>
      <x:c r="L53" s="126"/>
      <x:c r="M53" s="77" t="str">
        <x:v>B</x:v>
      </x:c>
      <x:c r="N53" s="66" t="str">
        <x:v>既存あり・一部転用可</x:v>
      </x:c>
      <x:c r="O53" s="77" t="str">
        <x:v>型式</x:v>
      </x:c>
      <x:c r="P53" s="79" t="n">
        <x:v>3</x:v>
      </x:c>
      <x:c r="Q53" s="77" t="str">
        <x:v>★★★☆☆</x:v>
      </x:c>
      <x:c r="R53" s="77" t="str">
        <x:v>未公開</x:v>
      </x:c>
      <x:c r="S53" s="79" t="n">
        <x:v>34650</x:v>
      </x:c>
      <x:c r="T53" s="77" t="str">
        <x:v>未着手</x:v>
      </x:c>
      <x:c r="U53" s="81" t="n">
        <x:v>46255</x:v>
      </x:c>
      <x:c r="V53" s="66" t="str">
        <x:v>初期仮説。キーワード調査後に需要・競合点を更新。</x:v>
      </x:c>
      <x:c r="W53" s="66" t="str">
        <x:v>要確認（7条件）</x:v>
      </x:c>
      <x:c r="X53" s="79" t="n">
        <x:v>4</x:v>
      </x:c>
      <x:c r="Y53" s="77" t="str">
        <x:f>IF(X53=5,"★★★★★",IF(X53=4,"★★★★☆",IF(X53=3,"★★★☆☆","★★☆☆☆")))</x:f>
        <x:v>★★★★☆</x:v>
      </x:c>
      <x:c r="Z53" s="238" t="n">
        <x:v>63.9</x:v>
      </x:c>
    </x:row>
    <x:row r="54" ht="30" hidden="0" customHeight="1">
      <x:c r="A54" s="75" t="str">
        <x:v>FREED</x:v>
      </x:c>
      <x:c r="B54" s="77" t="str">
        <x:v>★★★★★</x:v>
      </x:c>
      <x:c r="C54" s="66" t="str">
        <x:v>サイズ比較</x:v>
      </x:c>
      <x:c r="D54" s="66" t="str">
        <x:v>フリード シエンタ サイズ 比較</x:v>
      </x:c>
      <x:c r="E54" s="66" t="str">
        <x:v>https://carvista.jp/compare-freed-sienta.html</x:v>
      </x:c>
      <x:c r="F54" s="77" t="str">
        <x:v>改善</x:v>
      </x:c>
      <x:c r="G54" s="79" t="n">
        <x:v>27</x:v>
      </x:c>
      <x:c r="H54" s="79" t="n">
        <x:v>19</x:v>
      </x:c>
      <x:c r="I54" s="79" t="n">
        <x:v>30</x:v>
      </x:c>
      <x:c r="J54" s="79" t="n">
        <x:v>0</x:v>
      </x:c>
      <x:c r="K54" s="79" t="n">
        <x:v>0</x:v>
      </x:c>
      <x:c r="L54" s="126"/>
      <x:c r="M54" s="77" t="str">
        <x:v>A</x:v>
      </x:c>
      <x:c r="N54" s="66" t="str">
        <x:v>既存あり・比較画像を転用可</x:v>
      </x:c>
      <x:c r="O54" s="77" t="str">
        <x:v>サイズ比較</x:v>
      </x:c>
      <x:c r="P54" s="79" t="n">
        <x:v>6</x:v>
      </x:c>
      <x:c r="Q54" s="77" t="str">
        <x:v>★★★★★</x:v>
      </x:c>
      <x:c r="R54" s="77" t="str">
        <x:v>公開済み</x:v>
      </x:c>
      <x:c r="S54" s="79" t="n">
        <x:v>76950</x:v>
      </x:c>
      <x:c r="T54" s="77" t="str">
        <x:v>公開済み・深掘り候補</x:v>
      </x:c>
      <x:c r="U54" s="81" t="n">
        <x:v>46255</x:v>
      </x:c>
      <x:c r="V54" s="66" t="str">
        <x:v>初期仮説。キーワード調査後に需要・競合点を更新。</x:v>
      </x:c>
      <x:c r="W54" s="66" t="str">
        <x:v>公開済み</x:v>
      </x:c>
      <x:c r="X54" s="79" t="n">
        <x:v>4</x:v>
      </x:c>
      <x:c r="Y54" s="77" t="str">
        <x:f>IF(X54=5,"★★★★★",IF(X54=4,"★★★★☆",IF(X54=3,"★★★☆☆","★★☆☆☆")))</x:f>
        <x:v>★★★★☆</x:v>
      </x:c>
      <x:c r="Z54" s="238" t="n">
        <x:v>74.3</x:v>
      </x:c>
    </x:row>
    <x:row r="55" ht="30" hidden="0" customHeight="1">
      <x:c r="A55" s="75" t="str">
        <x:v>FREED</x:v>
      </x:c>
      <x:c r="B55" s="77" t="str">
        <x:v>★★★★★</x:v>
      </x:c>
      <x:c r="C55" s="66" t="str">
        <x:v>兄弟車比較</x:v>
      </x:c>
      <x:c r="D55" s="66" t="str">
        <x:v>フリード シエンタ 違い</x:v>
      </x:c>
      <x:c r="E55" s="66" t="str">
        <x:v>https://carvista.jp/compare-freed-sienta.html</x:v>
      </x:c>
      <x:c r="F55" s="77" t="str">
        <x:v>改善</x:v>
      </x:c>
      <x:c r="G55" s="79" t="n">
        <x:v>31</x:v>
      </x:c>
      <x:c r="H55" s="79" t="n">
        <x:v>17</x:v>
      </x:c>
      <x:c r="I55" s="79" t="n">
        <x:v>30</x:v>
      </x:c>
      <x:c r="J55" s="79" t="n">
        <x:v>0</x:v>
      </x:c>
      <x:c r="K55" s="79" t="n">
        <x:v>0</x:v>
      </x:c>
      <x:c r="L55" s="126"/>
      <x:c r="M55" s="77" t="str">
        <x:v>A</x:v>
      </x:c>
      <x:c r="N55" s="66" t="str">
        <x:v>既存あり・比較画像を転用可</x:v>
      </x:c>
      <x:c r="O55" s="77" t="str">
        <x:v>兄弟車比較</x:v>
      </x:c>
      <x:c r="P55" s="79" t="n">
        <x:v>6</x:v>
      </x:c>
      <x:c r="Q55" s="77" t="str">
        <x:v>★★★★★</x:v>
      </x:c>
      <x:c r="R55" s="77" t="str">
        <x:v>公開済み</x:v>
      </x:c>
      <x:c r="S55" s="79" t="n">
        <x:v>79050</x:v>
      </x:c>
      <x:c r="T55" s="77" t="str">
        <x:v>公開済み・深掘り候補</x:v>
      </x:c>
      <x:c r="U55" s="81" t="n">
        <x:v>46255</x:v>
      </x:c>
      <x:c r="V55" s="66" t="str">
        <x:v>初期仮説。キーワード調査後に需要・競合点を更新。</x:v>
      </x:c>
      <x:c r="W55" s="66" t="str">
        <x:v>公開済み</x:v>
      </x:c>
      <x:c r="X55" s="79" t="n">
        <x:v>4</x:v>
      </x:c>
      <x:c r="Y55" s="77" t="str">
        <x:f>IF(X55=5,"★★★★★",IF(X55=4,"★★★★☆",IF(X55=3,"★★★☆☆","★★☆☆☆")))</x:f>
        <x:v>★★★★☆</x:v>
      </x:c>
      <x:c r="Z55" s="238" t="n">
        <x:v>76.5</x:v>
      </x:c>
    </x:row>
    <x:row r="56" ht="30" hidden="0" customHeight="1">
      <x:c r="A56" s="75" t="str">
        <x:v>SIENTA</x:v>
      </x:c>
      <x:c r="B56" s="77" t="str">
        <x:v>★★★★★</x:v>
      </x:c>
      <x:c r="C56" s="66" t="str">
        <x:v>歴代</x:v>
      </x:c>
      <x:c r="D56" s="66" t="str">
        <x:v>シエンタ 歴代</x:v>
      </x:c>
      <x:c r="E56" s="66" t="str">
        <x:v>https://carvista.jp/cars/sienta.html</x:v>
      </x:c>
      <x:c r="F56" s="77" t="str">
        <x:v>改善</x:v>
      </x:c>
      <x:c r="G56" s="79" t="n">
        <x:v>33</x:v>
      </x:c>
      <x:c r="H56" s="79" t="n">
        <x:v>17</x:v>
      </x:c>
      <x:c r="I56" s="79" t="n">
        <x:v>30</x:v>
      </x:c>
      <x:c r="J56" s="79" t="n">
        <x:v>0</x:v>
      </x:c>
      <x:c r="K56" s="79" t="n">
        <x:v>0</x:v>
      </x:c>
      <x:c r="L56" s="126"/>
      <x:c r="M56" s="77" t="str">
        <x:v>A</x:v>
      </x:c>
      <x:c r="N56" s="66" t="str">
        <x:v>既存あり・比較画像を転用可</x:v>
      </x:c>
      <x:c r="O56" s="77" t="str">
        <x:v>歴代モデル</x:v>
      </x:c>
      <x:c r="P56" s="79" t="n">
        <x:v>6</x:v>
      </x:c>
      <x:c r="Q56" s="77" t="str">
        <x:v>★★★★★</x:v>
      </x:c>
      <x:c r="R56" s="77" t="str">
        <x:v>公開済み</x:v>
      </x:c>
      <x:c r="S56" s="79" t="n">
        <x:v>84150</x:v>
      </x:c>
      <x:c r="T56" s="77" t="str">
        <x:v>公開済み・深掘り候補</x:v>
      </x:c>
      <x:c r="U56" s="81" t="n">
        <x:v>46255</x:v>
      </x:c>
      <x:c r="V56" s="66" t="str">
        <x:v>初期仮説。キーワード調査後に需要・競合点を更新。</x:v>
      </x:c>
      <x:c r="W56" s="66" t="str">
        <x:v>公開済み</x:v>
      </x:c>
      <x:c r="X56" s="79" t="n">
        <x:v>4</x:v>
      </x:c>
      <x:c r="Y56" s="77" t="str">
        <x:f>IF(X56=5,"★★★★★",IF(X56=4,"★★★★☆",IF(X56=3,"★★★☆☆","★★☆☆☆")))</x:f>
        <x:v>★★★★☆</x:v>
      </x:c>
      <x:c r="Z56" s="238" t="n">
        <x:v>78.2</x:v>
      </x:c>
    </x:row>
    <x:row r="57" ht="30" hidden="0" customHeight="1">
      <x:c r="A57" s="75" t="str">
        <x:v>SIENTA</x:v>
      </x:c>
      <x:c r="B57" s="77" t="str">
        <x:v>★★★★★</x:v>
      </x:c>
      <x:c r="C57" s="66" t="str">
        <x:v>初代・2代目・3代目</x:v>
      </x:c>
      <x:c r="D57" s="66" t="str">
        <x:v>シエンタ 初代 2代目 3代目 違い</x:v>
      </x:c>
      <x:c r="E57" s="66" t="str">
        <x:v>https://carvista.jp/cars/sienta.html</x:v>
      </x:c>
      <x:c r="F57" s="77" t="str">
        <x:v>新規</x:v>
      </x:c>
      <x:c r="G57" s="79" t="n">
        <x:v>27</x:v>
      </x:c>
      <x:c r="H57" s="79" t="n">
        <x:v>20</x:v>
      </x:c>
      <x:c r="I57" s="79" t="n">
        <x:v>30</x:v>
      </x:c>
      <x:c r="J57" s="79" t="n">
        <x:v>0</x:v>
      </x:c>
      <x:c r="K57" s="79" t="n">
        <x:v>0</x:v>
      </x:c>
      <x:c r="L57" s="126"/>
      <x:c r="M57" s="77" t="str">
        <x:v>A</x:v>
      </x:c>
      <x:c r="N57" s="66" t="str">
        <x:v>既存あり・比較画像を転用可</x:v>
      </x:c>
      <x:c r="O57" s="77" t="str">
        <x:v>世代比較</x:v>
      </x:c>
      <x:c r="P57" s="79" t="n">
        <x:v>6</x:v>
      </x:c>
      <x:c r="Q57" s="77" t="str">
        <x:v>★★★★★</x:v>
      </x:c>
      <x:c r="R57" s="77" t="str">
        <x:v>未公開</x:v>
      </x:c>
      <x:c r="S57" s="79" t="n">
        <x:v>81000</x:v>
      </x:c>
      <x:c r="T57" s="77" t="str">
        <x:v>未着手</x:v>
      </x:c>
      <x:c r="U57" s="81" t="n">
        <x:v>46255</x:v>
      </x:c>
      <x:c r="V57" s="66" t="str">
        <x:v>初期仮説。キーワード調査後に需要・競合点を更新。</x:v>
      </x:c>
      <x:c r="W57" s="66" t="str">
        <x:v>要確認（7条件）</x:v>
      </x:c>
      <x:c r="X57" s="79" t="n">
        <x:v>4</x:v>
      </x:c>
      <x:c r="Y57" s="77" t="str">
        <x:f>IF(X57=5,"★★★★★",IF(X57=4,"★★★★☆",IF(X57=3,"★★★☆☆","★★☆☆☆")))</x:f>
        <x:v>★★★★☆</x:v>
      </x:c>
      <x:c r="Z57" s="238" t="n">
        <x:v>75</x:v>
      </x:c>
    </x:row>
    <x:row r="58" ht="30" hidden="0" customHeight="1">
      <x:c r="A58" s="75" t="str">
        <x:v>SIENTA</x:v>
      </x:c>
      <x:c r="B58" s="77" t="str">
        <x:v>★★★★★</x:v>
      </x:c>
      <x:c r="C58" s="66" t="str">
        <x:v>見分け方</x:v>
      </x:c>
      <x:c r="D58" s="66" t="str">
        <x:v>シエンタ 歴代 見分け方</x:v>
      </x:c>
      <x:c r="E58" s="66" t="str">
        <x:v>https://carvista.jp/cars/sienta.html</x:v>
      </x:c>
      <x:c r="F58" s="77" t="str">
        <x:v>新規</x:v>
      </x:c>
      <x:c r="G58" s="79" t="n">
        <x:v>25</x:v>
      </x:c>
      <x:c r="H58" s="79" t="n">
        <x:v>21</x:v>
      </x:c>
      <x:c r="I58" s="79" t="n">
        <x:v>30</x:v>
      </x:c>
      <x:c r="J58" s="79" t="n">
        <x:v>0</x:v>
      </x:c>
      <x:c r="K58" s="79" t="n">
        <x:v>0</x:v>
      </x:c>
      <x:c r="L58" s="126"/>
      <x:c r="M58" s="77" t="str">
        <x:v>A</x:v>
      </x:c>
      <x:c r="N58" s="66" t="str">
        <x:v>既存あり・比較画像を転用可</x:v>
      </x:c>
      <x:c r="O58" s="77" t="str">
        <x:v>見分け方</x:v>
      </x:c>
      <x:c r="P58" s="79" t="n">
        <x:v>6</x:v>
      </x:c>
      <x:c r="Q58" s="77" t="str">
        <x:v>★★★★★</x:v>
      </x:c>
      <x:c r="R58" s="77" t="str">
        <x:v>未公開</x:v>
      </x:c>
      <x:c r="S58" s="79" t="n">
        <x:v>78750</x:v>
      </x:c>
      <x:c r="T58" s="77" t="str">
        <x:v>未着手</x:v>
      </x:c>
      <x:c r="U58" s="81" t="n">
        <x:v>46255</x:v>
      </x:c>
      <x:c r="V58" s="66" t="str">
        <x:v>初期仮説。キーワード調査後に需要・競合点を更新。</x:v>
      </x:c>
      <x:c r="W58" s="66" t="str">
        <x:v>要確認（7条件）</x:v>
      </x:c>
      <x:c r="X58" s="79" t="n">
        <x:v>4</x:v>
      </x:c>
      <x:c r="Y58" s="77" t="str">
        <x:f>IF(X58=5,"★★★★★",IF(X58=4,"★★★★☆",IF(X58=3,"★★★☆☆","★★☆☆☆")))</x:f>
        <x:v>★★★★☆</x:v>
      </x:c>
      <x:c r="Z58" s="238" t="n">
        <x:v>73.9</x:v>
      </x:c>
    </x:row>
    <x:row r="59" ht="30" hidden="0" customHeight="1">
      <x:c r="A59" s="75" t="str">
        <x:v>SIENTA</x:v>
      </x:c>
      <x:c r="B59" s="77" t="str">
        <x:v>★★★★★</x:v>
      </x:c>
      <x:c r="C59" s="66" t="str">
        <x:v>前期・後期</x:v>
      </x:c>
      <x:c r="D59" s="66" t="str">
        <x:v>シエンタ 前期 後期 見分け方</x:v>
      </x:c>
      <x:c r="E59" s="66" t="str">
        <x:v>https://carvista.jp/cars/sienta.html</x:v>
      </x:c>
      <x:c r="F59" s="77" t="str">
        <x:v>新規</x:v>
      </x:c>
      <x:c r="G59" s="79" t="n">
        <x:v>21</x:v>
      </x:c>
      <x:c r="H59" s="79" t="n">
        <x:v>22</x:v>
      </x:c>
      <x:c r="I59" s="79" t="n">
        <x:v>27</x:v>
      </x:c>
      <x:c r="J59" s="79" t="n">
        <x:v>0</x:v>
      </x:c>
      <x:c r="K59" s="79" t="n">
        <x:v>0</x:v>
      </x:c>
      <x:c r="L59" s="126"/>
      <x:c r="M59" s="77" t="str">
        <x:v>A</x:v>
      </x:c>
      <x:c r="N59" s="66" t="str">
        <x:v>既存あり・比較画像を転用可</x:v>
      </x:c>
      <x:c r="O59" s="77" t="str">
        <x:v>前期後期</x:v>
      </x:c>
      <x:c r="P59" s="79" t="n">
        <x:v>6</x:v>
      </x:c>
      <x:c r="Q59" s="77" t="str">
        <x:v>★★★★★</x:v>
      </x:c>
      <x:c r="R59" s="77" t="str">
        <x:v>未公開</x:v>
      </x:c>
      <x:c r="S59" s="79" t="n">
        <x:v>62370</x:v>
      </x:c>
      <x:c r="T59" s="77" t="str">
        <x:v>未着手</x:v>
      </x:c>
      <x:c r="U59" s="81" t="n">
        <x:v>46255</x:v>
      </x:c>
      <x:c r="V59" s="66" t="str">
        <x:v>初期仮説。キーワード調査後に需要・競合点を更新。</x:v>
      </x:c>
      <x:c r="W59" s="66" t="str">
        <x:v>要確認（7条件）</x:v>
      </x:c>
      <x:c r="X59" s="79" t="n">
        <x:v>4</x:v>
      </x:c>
      <x:c r="Y59" s="77" t="str">
        <x:f>IF(X59=5,"★★★★★",IF(X59=4,"★★★★☆",IF(X59=3,"★★★☆☆","★★☆☆☆")))</x:f>
        <x:v>★★★★☆</x:v>
      </x:c>
      <x:c r="Z59" s="238" t="n">
        <x:v>69</x:v>
      </x:c>
    </x:row>
    <x:row r="60" ht="30" hidden="0" customHeight="1">
      <x:c r="A60" s="75" t="str">
        <x:v>SIENTA</x:v>
      </x:c>
      <x:c r="B60" s="77" t="str">
        <x:v>★★★★★</x:v>
      </x:c>
      <x:c r="C60" s="66" t="str">
        <x:v>型式</x:v>
      </x:c>
      <x:c r="D60" s="66" t="str">
        <x:v>シエンタ 型式 一覧</x:v>
      </x:c>
      <x:c r="E60" s="66" t="str">
        <x:v>https://carvista.jp/cars/sienta.html</x:v>
      </x:c>
      <x:c r="F60" s="77" t="str">
        <x:v>新規</x:v>
      </x:c>
      <x:c r="G60" s="79" t="n">
        <x:v>20</x:v>
      </x:c>
      <x:c r="H60" s="79" t="n">
        <x:v>22</x:v>
      </x:c>
      <x:c r="I60" s="79" t="n">
        <x:v>25</x:v>
      </x:c>
      <x:c r="J60" s="79" t="n">
        <x:v>0</x:v>
      </x:c>
      <x:c r="K60" s="79" t="n">
        <x:v>0</x:v>
      </x:c>
      <x:c r="L60" s="126"/>
      <x:c r="M60" s="77" t="str">
        <x:v>B</x:v>
      </x:c>
      <x:c r="N60" s="66" t="str">
        <x:v>既存あり・一部転用可</x:v>
      </x:c>
      <x:c r="O60" s="77" t="str">
        <x:v>型式</x:v>
      </x:c>
      <x:c r="P60" s="79" t="n">
        <x:v>3</x:v>
      </x:c>
      <x:c r="Q60" s="77" t="str">
        <x:v>★★★☆☆</x:v>
      </x:c>
      <x:c r="R60" s="77" t="str">
        <x:v>未公開</x:v>
      </x:c>
      <x:c r="S60" s="79" t="n">
        <x:v>33000</x:v>
      </x:c>
      <x:c r="T60" s="77" t="str">
        <x:v>未着手</x:v>
      </x:c>
      <x:c r="U60" s="81" t="n">
        <x:v>46255</x:v>
      </x:c>
      <x:c r="V60" s="66" t="str">
        <x:v>初期仮説。キーワード調査後に需要・競合点を更新。</x:v>
      </x:c>
      <x:c r="W60" s="66" t="str">
        <x:v>要確認（7条件）</x:v>
      </x:c>
      <x:c r="X60" s="79" t="n">
        <x:v>4</x:v>
      </x:c>
      <x:c r="Y60" s="77" t="str">
        <x:f>IF(X60=5,"★★★★★",IF(X60=4,"★★★★☆",IF(X60=3,"★★★☆☆","★★☆☆☆")))</x:f>
        <x:v>★★★★☆</x:v>
      </x:c>
      <x:c r="Z60" s="238" t="n">
        <x:v>62.8</x:v>
      </x:c>
    </x:row>
    <x:row r="61" ht="30" hidden="0" customHeight="1">
      <x:c r="A61" s="75" t="str">
        <x:v>SIENTA</x:v>
      </x:c>
      <x:c r="B61" s="77" t="str">
        <x:v>★★★★★</x:v>
      </x:c>
      <x:c r="C61" s="66" t="str">
        <x:v>サイズ比較</x:v>
      </x:c>
      <x:c r="D61" s="66" t="str">
        <x:v>シエンタ フリード サイズ 比較</x:v>
      </x:c>
      <x:c r="E61" s="66" t="str">
        <x:v>https://carvista.jp/compare-freed-sienta.html</x:v>
      </x:c>
      <x:c r="F61" s="77" t="str">
        <x:v>改善</x:v>
      </x:c>
      <x:c r="G61" s="79" t="n">
        <x:v>26</x:v>
      </x:c>
      <x:c r="H61" s="79" t="n">
        <x:v>20</x:v>
      </x:c>
      <x:c r="I61" s="79" t="n">
        <x:v>30</x:v>
      </x:c>
      <x:c r="J61" s="79" t="n">
        <x:v>0</x:v>
      </x:c>
      <x:c r="K61" s="79" t="n">
        <x:v>0</x:v>
      </x:c>
      <x:c r="L61" s="126"/>
      <x:c r="M61" s="77" t="str">
        <x:v>A</x:v>
      </x:c>
      <x:c r="N61" s="66" t="str">
        <x:v>既存あり・比較画像を転用可</x:v>
      </x:c>
      <x:c r="O61" s="77" t="str">
        <x:v>サイズ比較</x:v>
      </x:c>
      <x:c r="P61" s="79" t="n">
        <x:v>6</x:v>
      </x:c>
      <x:c r="Q61" s="77" t="str">
        <x:v>★★★★★</x:v>
      </x:c>
      <x:c r="R61" s="77" t="str">
        <x:v>公開済み</x:v>
      </x:c>
      <x:c r="S61" s="79" t="n">
        <x:v>78000</x:v>
      </x:c>
      <x:c r="T61" s="77" t="str">
        <x:v>公開済み・深掘り候補</x:v>
      </x:c>
      <x:c r="U61" s="81" t="n">
        <x:v>46255</x:v>
      </x:c>
      <x:c r="V61" s="66" t="str">
        <x:v>初期仮説。キーワード調査後に需要・競合点を更新。</x:v>
      </x:c>
      <x:c r="W61" s="66" t="str">
        <x:v>公開済み</x:v>
      </x:c>
      <x:c r="X61" s="79" t="n">
        <x:v>4</x:v>
      </x:c>
      <x:c r="Y61" s="77" t="str">
        <x:f>IF(X61=5,"★★★★★",IF(X61=4,"★★★★☆",IF(X61=3,"★★★☆☆","★★☆☆☆")))</x:f>
        <x:v>★★★★☆</x:v>
      </x:c>
      <x:c r="Z61" s="238" t="n">
        <x:v>74.1</x:v>
      </x:c>
    </x:row>
    <x:row r="62" ht="30" hidden="0" customHeight="1">
      <x:c r="A62" s="75" t="str">
        <x:v>SIENTA</x:v>
      </x:c>
      <x:c r="B62" s="77" t="str">
        <x:v>★★★★★</x:v>
      </x:c>
      <x:c r="C62" s="66" t="str">
        <x:v>兄弟車比較</x:v>
      </x:c>
      <x:c r="D62" s="66" t="str">
        <x:v>シエンタ フリード 違い</x:v>
      </x:c>
      <x:c r="E62" s="66" t="str">
        <x:v>https://carvista.jp/compare-freed-sienta.html</x:v>
      </x:c>
      <x:c r="F62" s="77" t="str">
        <x:v>改善</x:v>
      </x:c>
      <x:c r="G62" s="79" t="n">
        <x:v>30</x:v>
      </x:c>
      <x:c r="H62" s="79" t="n">
        <x:v>18</x:v>
      </x:c>
      <x:c r="I62" s="79" t="n">
        <x:v>30</x:v>
      </x:c>
      <x:c r="J62" s="79" t="n">
        <x:v>0</x:v>
      </x:c>
      <x:c r="K62" s="79" t="n">
        <x:v>0</x:v>
      </x:c>
      <x:c r="L62" s="126"/>
      <x:c r="M62" s="77" t="str">
        <x:v>A</x:v>
      </x:c>
      <x:c r="N62" s="66" t="str">
        <x:v>既存あり・比較画像を転用可</x:v>
      </x:c>
      <x:c r="O62" s="77" t="str">
        <x:v>兄弟車比較</x:v>
      </x:c>
      <x:c r="P62" s="79" t="n">
        <x:v>6</x:v>
      </x:c>
      <x:c r="Q62" s="77" t="str">
        <x:v>★★★★★</x:v>
      </x:c>
      <x:c r="R62" s="77" t="str">
        <x:v>公開済み</x:v>
      </x:c>
      <x:c r="S62" s="79" t="n">
        <x:v>81000</x:v>
      </x:c>
      <x:c r="T62" s="77" t="str">
        <x:v>公開済み・深掘り候補</x:v>
      </x:c>
      <x:c r="U62" s="81" t="n">
        <x:v>46255</x:v>
      </x:c>
      <x:c r="V62" s="66" t="str">
        <x:v>初期仮説。キーワード調査後に需要・競合点を更新。</x:v>
      </x:c>
      <x:c r="W62" s="66" t="str">
        <x:v>公開済み</x:v>
      </x:c>
      <x:c r="X62" s="79" t="n">
        <x:v>4</x:v>
      </x:c>
      <x:c r="Y62" s="77" t="str">
        <x:f>IF(X62=5,"★★★★★",IF(X62=4,"★★★★☆",IF(X62=3,"★★★☆☆","★★☆☆☆")))</x:f>
        <x:v>★★★★☆</x:v>
      </x:c>
      <x:c r="Z62" s="238" t="n">
        <x:v>76.3</x:v>
      </x:c>
    </x:row>
    <x:row r="63" ht="30" hidden="0" customHeight="1">
      <x:c r="A63" s="75" t="str">
        <x:v>TANTO</x:v>
      </x:c>
      <x:c r="B63" s="77" t="str">
        <x:v>★★★★★</x:v>
      </x:c>
      <x:c r="C63" s="66" t="str">
        <x:v>歴代</x:v>
      </x:c>
      <x:c r="D63" s="66" t="str">
        <x:v>タント 歴代</x:v>
      </x:c>
      <x:c r="E63" s="66"/>
      <x:c r="F63" s="77" t="str">
        <x:v>新規</x:v>
      </x:c>
      <x:c r="G63" s="79" t="n">
        <x:v>34</x:v>
      </x:c>
      <x:c r="H63" s="79" t="n">
        <x:v>16</x:v>
      </x:c>
      <x:c r="I63" s="79" t="n">
        <x:v>30</x:v>
      </x:c>
      <x:c r="J63" s="79" t="n">
        <x:v>0</x:v>
      </x:c>
      <x:c r="K63" s="79" t="n">
        <x:v>0</x:v>
      </x:c>
      <x:c r="L63" s="126"/>
      <x:c r="M63" s="77" t="str">
        <x:v>A</x:v>
      </x:c>
      <x:c r="N63" s="66" t="str">
        <x:v>要制作</x:v>
      </x:c>
      <x:c r="O63" s="77" t="str">
        <x:v>歴代モデル</x:v>
      </x:c>
      <x:c r="P63" s="79" t="n">
        <x:v>6</x:v>
      </x:c>
      <x:c r="Q63" s="77" t="str">
        <x:v>★★★★★</x:v>
      </x:c>
      <x:c r="R63" s="77" t="str">
        <x:v>未公開</x:v>
      </x:c>
      <x:c r="S63" s="79" t="n">
        <x:v>81600</x:v>
      </x:c>
      <x:c r="T63" s="77" t="str">
        <x:v>未着手</x:v>
      </x:c>
      <x:c r="U63" s="81" t="n">
        <x:v>46255</x:v>
      </x:c>
      <x:c r="V63" s="66" t="str">
        <x:v>初期仮説。キーワード調査後に需要・競合点を更新。</x:v>
      </x:c>
      <x:c r="W63" s="66" t="str">
        <x:v>要確認（7条件）</x:v>
      </x:c>
      <x:c r="X63" s="79" t="n">
        <x:v>4</x:v>
      </x:c>
      <x:c r="Y63" s="77" t="str">
        <x:f>IF(X63=5,"★★★★★",IF(X63=4,"★★★★☆",IF(X63=3,"★★★☆☆","★★☆☆☆")))</x:f>
        <x:v>★★★★☆</x:v>
      </x:c>
      <x:c r="Z63" s="238" t="n">
        <x:v>78.4</x:v>
      </x:c>
    </x:row>
    <x:row r="64" ht="30" hidden="0" customHeight="1">
      <x:c r="A64" s="75" t="str">
        <x:v>TANTO</x:v>
      </x:c>
      <x:c r="B64" s="77" t="str">
        <x:v>★★★★★</x:v>
      </x:c>
      <x:c r="C64" s="66" t="str">
        <x:v>見分け方</x:v>
      </x:c>
      <x:c r="D64" s="66" t="str">
        <x:v>タント 歴代 見分け方</x:v>
      </x:c>
      <x:c r="E64" s="66"/>
      <x:c r="F64" s="77" t="str">
        <x:v>新規</x:v>
      </x:c>
      <x:c r="G64" s="79" t="n">
        <x:v>27</x:v>
      </x:c>
      <x:c r="H64" s="79" t="n">
        <x:v>20</x:v>
      </x:c>
      <x:c r="I64" s="79" t="n">
        <x:v>30</x:v>
      </x:c>
      <x:c r="J64" s="79" t="n">
        <x:v>0</x:v>
      </x:c>
      <x:c r="K64" s="79" t="n">
        <x:v>0</x:v>
      </x:c>
      <x:c r="L64" s="126"/>
      <x:c r="M64" s="77" t="str">
        <x:v>A</x:v>
      </x:c>
      <x:c r="N64" s="66" t="str">
        <x:v>要制作</x:v>
      </x:c>
      <x:c r="O64" s="77" t="str">
        <x:v>見分け方</x:v>
      </x:c>
      <x:c r="P64" s="79" t="n">
        <x:v>6</x:v>
      </x:c>
      <x:c r="Q64" s="77" t="str">
        <x:v>★★★★★</x:v>
      </x:c>
      <x:c r="R64" s="77" t="str">
        <x:v>未公開</x:v>
      </x:c>
      <x:c r="S64" s="79" t="n">
        <x:v>81000</x:v>
      </x:c>
      <x:c r="T64" s="77" t="str">
        <x:v>未着手</x:v>
      </x:c>
      <x:c r="U64" s="81" t="n">
        <x:v>46255</x:v>
      </x:c>
      <x:c r="V64" s="66" t="str">
        <x:v>初期仮説。キーワード調査後に需要・競合点を更新。</x:v>
      </x:c>
      <x:c r="W64" s="66" t="str">
        <x:v>要確認（7条件）</x:v>
      </x:c>
      <x:c r="X64" s="79" t="n">
        <x:v>4</x:v>
      </x:c>
      <x:c r="Y64" s="77" t="str">
        <x:f>IF(X64=5,"★★★★★",IF(X64=4,"★★★★☆",IF(X64=3,"★★★☆☆","★★☆☆☆")))</x:f>
        <x:v>★★★★☆</x:v>
      </x:c>
      <x:c r="Z64" s="238" t="n">
        <x:v>75</x:v>
      </x:c>
    </x:row>
    <x:row r="65" ht="30" hidden="0" customHeight="1">
      <x:c r="A65" s="75" t="str">
        <x:v>TANTO</x:v>
      </x:c>
      <x:c r="B65" s="77" t="str">
        <x:v>★★★★★</x:v>
      </x:c>
      <x:c r="C65" s="66" t="str">
        <x:v>前期・後期</x:v>
      </x:c>
      <x:c r="D65" s="66" t="str">
        <x:v>タント 前期 後期 見分け方</x:v>
      </x:c>
      <x:c r="E65" s="66"/>
      <x:c r="F65" s="77" t="str">
        <x:v>新規</x:v>
      </x:c>
      <x:c r="G65" s="79" t="n">
        <x:v>22</x:v>
      </x:c>
      <x:c r="H65" s="79" t="n">
        <x:v>22</x:v>
      </x:c>
      <x:c r="I65" s="79" t="n">
        <x:v>27</x:v>
      </x:c>
      <x:c r="J65" s="79" t="n">
        <x:v>0</x:v>
      </x:c>
      <x:c r="K65" s="79" t="n">
        <x:v>0</x:v>
      </x:c>
      <x:c r="L65" s="126"/>
      <x:c r="M65" s="77" t="str">
        <x:v>A</x:v>
      </x:c>
      <x:c r="N65" s="66" t="str">
        <x:v>要制作</x:v>
      </x:c>
      <x:c r="O65" s="77" t="str">
        <x:v>前期後期</x:v>
      </x:c>
      <x:c r="P65" s="79" t="n">
        <x:v>6</x:v>
      </x:c>
      <x:c r="Q65" s="77" t="str">
        <x:v>★★★★★</x:v>
      </x:c>
      <x:c r="R65" s="77" t="str">
        <x:v>未公開</x:v>
      </x:c>
      <x:c r="S65" s="79" t="n">
        <x:v>65340</x:v>
      </x:c>
      <x:c r="T65" s="77" t="str">
        <x:v>未着手</x:v>
      </x:c>
      <x:c r="U65" s="81" t="n">
        <x:v>46255</x:v>
      </x:c>
      <x:c r="V65" s="66" t="str">
        <x:v>初期仮説。キーワード調査後に需要・競合点を更新。</x:v>
      </x:c>
      <x:c r="W65" s="66" t="str">
        <x:v>要確認（7条件）</x:v>
      </x:c>
      <x:c r="X65" s="79" t="n">
        <x:v>4</x:v>
      </x:c>
      <x:c r="Y65" s="77" t="str">
        <x:f>IF(X65=5,"★★★★★",IF(X65=4,"★★★★☆",IF(X65=3,"★★★☆☆","★★☆☆☆")))</x:f>
        <x:v>★★★★☆</x:v>
      </x:c>
      <x:c r="Z65" s="238" t="n">
        <x:v>69.9</x:v>
      </x:c>
    </x:row>
    <x:row r="66" ht="30" hidden="0" customHeight="1">
      <x:c r="A66" s="75" t="str">
        <x:v>TANTO</x:v>
      </x:c>
      <x:c r="B66" s="77" t="str">
        <x:v>★★★★★</x:v>
      </x:c>
      <x:c r="C66" s="66" t="str">
        <x:v>型式</x:v>
      </x:c>
      <x:c r="D66" s="66" t="str">
        <x:v>タント 型式 一覧</x:v>
      </x:c>
      <x:c r="E66" s="66"/>
      <x:c r="F66" s="77" t="str">
        <x:v>新規</x:v>
      </x:c>
      <x:c r="G66" s="79" t="n">
        <x:v>22</x:v>
      </x:c>
      <x:c r="H66" s="79" t="n">
        <x:v>21</x:v>
      </x:c>
      <x:c r="I66" s="79" t="n">
        <x:v>25</x:v>
      </x:c>
      <x:c r="J66" s="79" t="n">
        <x:v>0</x:v>
      </x:c>
      <x:c r="K66" s="79" t="n">
        <x:v>0</x:v>
      </x:c>
      <x:c r="L66" s="126"/>
      <x:c r="M66" s="77" t="str">
        <x:v>B</x:v>
      </x:c>
      <x:c r="N66" s="66" t="str">
        <x:v>要制作</x:v>
      </x:c>
      <x:c r="O66" s="77" t="str">
        <x:v>型式</x:v>
      </x:c>
      <x:c r="P66" s="79" t="n">
        <x:v>3</x:v>
      </x:c>
      <x:c r="Q66" s="77" t="str">
        <x:v>★★★☆☆</x:v>
      </x:c>
      <x:c r="R66" s="77" t="str">
        <x:v>未公開</x:v>
      </x:c>
      <x:c r="S66" s="79" t="n">
        <x:v>34650</x:v>
      </x:c>
      <x:c r="T66" s="77" t="str">
        <x:v>未着手</x:v>
      </x:c>
      <x:c r="U66" s="81" t="n">
        <x:v>46255</x:v>
      </x:c>
      <x:c r="V66" s="66" t="str">
        <x:v>初期仮説。キーワード調査後に需要・競合点を更新。</x:v>
      </x:c>
      <x:c r="W66" s="66" t="str">
        <x:v>要確認（7条件）</x:v>
      </x:c>
      <x:c r="X66" s="79" t="n">
        <x:v>4</x:v>
      </x:c>
      <x:c r="Y66" s="77" t="str">
        <x:f>IF(X66=5,"★★★★★",IF(X66=4,"★★★★☆",IF(X66=3,"★★★☆☆","★★☆☆☆")))</x:f>
        <x:v>★★★★☆</x:v>
      </x:c>
      <x:c r="Z66" s="238" t="n">
        <x:v>63.9</x:v>
      </x:c>
    </x:row>
    <x:row r="67" ht="30" hidden="0" customHeight="1">
      <x:c r="A67" s="75" t="str">
        <x:v>TANTO</x:v>
      </x:c>
      <x:c r="B67" s="77" t="str">
        <x:v>★★★★★</x:v>
      </x:c>
      <x:c r="C67" s="66" t="str">
        <x:v>おすすめ年式</x:v>
      </x:c>
      <x:c r="D67" s="66" t="str">
        <x:v>タント おすすめ 年式</x:v>
      </x:c>
      <x:c r="E67" s="66"/>
      <x:c r="F67" s="77" t="str">
        <x:v>新規</x:v>
      </x:c>
      <x:c r="G67" s="79" t="n">
        <x:v>22</x:v>
      </x:c>
      <x:c r="H67" s="79" t="n">
        <x:v>20</x:v>
      </x:c>
      <x:c r="I67" s="79" t="n">
        <x:v>22</x:v>
      </x:c>
      <x:c r="J67" s="79" t="n">
        <x:v>0</x:v>
      </x:c>
      <x:c r="K67" s="79" t="n">
        <x:v>0</x:v>
      </x:c>
      <x:c r="L67" s="126"/>
      <x:c r="M67" s="77" t="str">
        <x:v>C</x:v>
      </x:c>
      <x:c r="N67" s="66" t="str">
        <x:v>要制作</x:v>
      </x:c>
      <x:c r="O67" s="77" t="str">
        <x:v>おすすめ年式</x:v>
      </x:c>
      <x:c r="P67" s="79" t="n">
        <x:v>1</x:v>
      </x:c>
      <x:c r="Q67" s="77" t="str">
        <x:v>★★☆☆☆</x:v>
      </x:c>
      <x:c r="R67" s="77" t="str">
        <x:v>未公開</x:v>
      </x:c>
      <x:c r="S67" s="79" t="n">
        <x:v>19360</x:v>
      </x:c>
      <x:c r="T67" s="77" t="str">
        <x:v>未着手</x:v>
      </x:c>
      <x:c r="U67" s="81" t="n">
        <x:v>46255</x:v>
      </x:c>
      <x:c r="V67" s="66" t="str">
        <x:v>初期仮説。キーワード調査後に需要・競合点を更新。</x:v>
      </x:c>
      <x:c r="W67" s="66" t="str">
        <x:v>要確認（7条件）</x:v>
      </x:c>
      <x:c r="X67" s="79" t="n">
        <x:v>4</x:v>
      </x:c>
      <x:c r="Y67" s="77" t="str">
        <x:f>IF(X67=5,"★★★★★",IF(X67=4,"★★★★☆",IF(X67=3,"★★★☆☆","★★☆☆☆")))</x:f>
        <x:v>★★★★☆</x:v>
      </x:c>
      <x:c r="Z67" s="238" t="n">
        <x:v>58.2</x:v>
      </x:c>
    </x:row>
    <x:row r="68" ht="30" hidden="0" customHeight="1">
      <x:c r="A68" s="75" t="str">
        <x:v>HARRIER</x:v>
      </x:c>
      <x:c r="B68" s="77" t="str">
        <x:v>★★★★★</x:v>
      </x:c>
      <x:c r="C68" s="66" t="str">
        <x:v>歴代</x:v>
      </x:c>
      <x:c r="D68" s="66" t="str">
        <x:v>ハリアー 歴代</x:v>
      </x:c>
      <x:c r="E68" s="66"/>
      <x:c r="F68" s="77" t="str">
        <x:v>新規</x:v>
      </x:c>
      <x:c r="G68" s="79" t="n">
        <x:v>38</x:v>
      </x:c>
      <x:c r="H68" s="79" t="n">
        <x:v>12</x:v>
      </x:c>
      <x:c r="I68" s="79" t="n">
        <x:v>30</x:v>
      </x:c>
      <x:c r="J68" s="79" t="n">
        <x:v>0</x:v>
      </x:c>
      <x:c r="K68" s="79" t="n">
        <x:v>0</x:v>
      </x:c>
      <x:c r="L68" s="126"/>
      <x:c r="M68" s="77" t="str">
        <x:v>A</x:v>
      </x:c>
      <x:c r="N68" s="66" t="str">
        <x:v>要制作</x:v>
      </x:c>
      <x:c r="O68" s="77" t="str">
        <x:v>歴代モデル</x:v>
      </x:c>
      <x:c r="P68" s="79" t="n">
        <x:v>6</x:v>
      </x:c>
      <x:c r="Q68" s="77" t="str">
        <x:v>★★★★★</x:v>
      </x:c>
      <x:c r="R68" s="77" t="str">
        <x:v>未公開</x:v>
      </x:c>
      <x:c r="S68" s="79" t="n">
        <x:v>68400</x:v>
      </x:c>
      <x:c r="T68" s="77" t="str">
        <x:v>ASSET_REQUIRED: HARRIER 4世代統一ライブラリ</x:v>
      </x:c>
      <x:c r="U68" s="81" t="n">
        <x:v>46255</x:v>
      </x:c>
      <x:c r="V68" s="66" t="str">
        <x:v>初期仮説。キーワード調査後に需要・競合点を更新。｜画像Asset制作キュー参照。完成後はASSET_READYへ更新。</x:v>
      </x:c>
      <x:c r="W68" s="66" t="str">
        <x:v>要確認（7条件）</x:v>
      </x:c>
      <x:c r="X68" s="79" t="n">
        <x:v>4</x:v>
      </x:c>
      <x:c r="Y68" s="77" t="str">
        <x:f>IF(X68=5,"★★★★★",IF(X68=4,"★★★★☆",IF(X68=3,"★★★☆☆","★★☆☆☆")))</x:f>
        <x:v>★★★★☆</x:v>
      </x:c>
      <x:c r="Z68" s="238" t="n">
        <x:v>79.3</x:v>
      </x:c>
    </x:row>
    <x:row r="69" ht="30" hidden="0" customHeight="1">
      <x:c r="A69" s="75" t="str">
        <x:v>HARRIER</x:v>
      </x:c>
      <x:c r="B69" s="77" t="str">
        <x:v>★★★★★</x:v>
      </x:c>
      <x:c r="C69" s="66" t="str">
        <x:v>60系・80系</x:v>
      </x:c>
      <x:c r="D69" s="66" t="str">
        <x:v>ハリアー 60系 80系 違い</x:v>
      </x:c>
      <x:c r="E69" s="66"/>
      <x:c r="F69" s="77" t="str">
        <x:v>新規</x:v>
      </x:c>
      <x:c r="G69" s="79" t="n">
        <x:v>33</x:v>
      </x:c>
      <x:c r="H69" s="79" t="n">
        <x:v>16</x:v>
      </x:c>
      <x:c r="I69" s="79" t="n">
        <x:v>30</x:v>
      </x:c>
      <x:c r="J69" s="79" t="n">
        <x:v>0</x:v>
      </x:c>
      <x:c r="K69" s="79" t="n">
        <x:v>0</x:v>
      </x:c>
      <x:c r="L69" s="126"/>
      <x:c r="M69" s="77" t="str">
        <x:v>A</x:v>
      </x:c>
      <x:c r="N69" s="66" t="str">
        <x:v>要制作</x:v>
      </x:c>
      <x:c r="O69" s="77" t="str">
        <x:v>世代比較</x:v>
      </x:c>
      <x:c r="P69" s="79" t="n">
        <x:v>6</x:v>
      </x:c>
      <x:c r="Q69" s="77" t="str">
        <x:v>★★★★★</x:v>
      </x:c>
      <x:c r="R69" s="77" t="str">
        <x:v>未公開</x:v>
      </x:c>
      <x:c r="S69" s="79" t="n">
        <x:v>79200</x:v>
      </x:c>
      <x:c r="T69" s="77" t="str">
        <x:v>ASSET_REQUIRED: HARRIER 4世代統一ライブラリ</x:v>
      </x:c>
      <x:c r="U69" s="81" t="n">
        <x:v>46255</x:v>
      </x:c>
      <x:c r="V69" s="66" t="str">
        <x:v>初期仮説。キーワード調査後に需要・競合点を更新。｜画像Asset制作キュー参照。完成後はASSET_READYへ更新。</x:v>
      </x:c>
      <x:c r="W69" s="66" t="str">
        <x:v>要確認（7条件）</x:v>
      </x:c>
      <x:c r="X69" s="79" t="n">
        <x:v>4</x:v>
      </x:c>
      <x:c r="Y69" s="77" t="str">
        <x:f>IF(X69=5,"★★★★★",IF(X69=4,"★★★★☆",IF(X69=3,"★★★☆☆","★★☆☆☆")))</x:f>
        <x:v>★★★★☆</x:v>
      </x:c>
      <x:c r="Z69" s="238" t="n">
        <x:v>77.5</x:v>
      </x:c>
    </x:row>
    <x:row r="70" ht="30" hidden="0" customHeight="1">
      <x:c r="A70" s="75" t="str">
        <x:v>HARRIER</x:v>
      </x:c>
      <x:c r="B70" s="77" t="str">
        <x:v>★★★★★</x:v>
      </x:c>
      <x:c r="C70" s="66" t="str">
        <x:v>見分け方</x:v>
      </x:c>
      <x:c r="D70" s="66" t="str">
        <x:v>ハリアー 歴代 見分け方</x:v>
      </x:c>
      <x:c r="E70" s="66"/>
      <x:c r="F70" s="77" t="str">
        <x:v>新規</x:v>
      </x:c>
      <x:c r="G70" s="79" t="n">
        <x:v>29</x:v>
      </x:c>
      <x:c r="H70" s="79" t="n">
        <x:v>18</x:v>
      </x:c>
      <x:c r="I70" s="79" t="n">
        <x:v>30</x:v>
      </x:c>
      <x:c r="J70" s="79" t="n">
        <x:v>0</x:v>
      </x:c>
      <x:c r="K70" s="79" t="n">
        <x:v>0</x:v>
      </x:c>
      <x:c r="L70" s="126"/>
      <x:c r="M70" s="77" t="str">
        <x:v>A</x:v>
      </x:c>
      <x:c r="N70" s="66" t="str">
        <x:v>要制作</x:v>
      </x:c>
      <x:c r="O70" s="77" t="str">
        <x:v>見分け方</x:v>
      </x:c>
      <x:c r="P70" s="79" t="n">
        <x:v>6</x:v>
      </x:c>
      <x:c r="Q70" s="77" t="str">
        <x:v>★★★★★</x:v>
      </x:c>
      <x:c r="R70" s="77" t="str">
        <x:v>未公開</x:v>
      </x:c>
      <x:c r="S70" s="79" t="n">
        <x:v>78300</x:v>
      </x:c>
      <x:c r="T70" s="77" t="str">
        <x:v>ASSET_REQUIRED: HARRIER 4世代統一ライブラリ</x:v>
      </x:c>
      <x:c r="U70" s="81" t="n">
        <x:v>46255</x:v>
      </x:c>
      <x:c r="V70" s="66" t="str">
        <x:v>初期仮説。キーワード調査後に需要・競合点を更新。｜画像Asset制作キュー参照。完成後はASSET_READYへ更新。</x:v>
      </x:c>
      <x:c r="W70" s="66" t="str">
        <x:v>要確認（7条件）</x:v>
      </x:c>
      <x:c r="X70" s="79" t="n">
        <x:v>4</x:v>
      </x:c>
      <x:c r="Y70" s="77" t="str">
        <x:f>IF(X70=5,"★★★★★",IF(X70=4,"★★★★☆",IF(X70=3,"★★★☆☆","★★☆☆☆")))</x:f>
        <x:v>★★★★☆</x:v>
      </x:c>
      <x:c r="Z70" s="238" t="n">
        <x:v>75.4</x:v>
      </x:c>
    </x:row>
    <x:row r="71" ht="30" hidden="0" customHeight="1">
      <x:c r="A71" s="75" t="str">
        <x:v>HARRIER</x:v>
      </x:c>
      <x:c r="B71" s="77" t="str">
        <x:v>★★★★★</x:v>
      </x:c>
      <x:c r="C71" s="66" t="str">
        <x:v>前期・後期</x:v>
      </x:c>
      <x:c r="D71" s="66" t="str">
        <x:v>ハリアー 60系 前期 後期 見分け方</x:v>
      </x:c>
      <x:c r="E71" s="66"/>
      <x:c r="F71" s="77" t="str">
        <x:v>新規</x:v>
      </x:c>
      <x:c r="G71" s="79" t="n">
        <x:v>27</x:v>
      </x:c>
      <x:c r="H71" s="79" t="n">
        <x:v>19</x:v>
      </x:c>
      <x:c r="I71" s="79" t="n">
        <x:v>28</x:v>
      </x:c>
      <x:c r="J71" s="79" t="n">
        <x:v>0</x:v>
      </x:c>
      <x:c r="K71" s="79" t="n">
        <x:v>0</x:v>
      </x:c>
      <x:c r="L71" s="126"/>
      <x:c r="M71" s="77" t="str">
        <x:v>A</x:v>
      </x:c>
      <x:c r="N71" s="66" t="str">
        <x:v>要制作</x:v>
      </x:c>
      <x:c r="O71" s="77" t="str">
        <x:v>前期後期</x:v>
      </x:c>
      <x:c r="P71" s="79" t="n">
        <x:v>6</x:v>
      </x:c>
      <x:c r="Q71" s="77" t="str">
        <x:v>★★★★★</x:v>
      </x:c>
      <x:c r="R71" s="77" t="str">
        <x:v>未公開</x:v>
      </x:c>
      <x:c r="S71" s="79" t="n">
        <x:v>71820</x:v>
      </x:c>
      <x:c r="T71" s="77" t="str">
        <x:v>未着手</x:v>
      </x:c>
      <x:c r="U71" s="81" t="n">
        <x:v>46255</x:v>
      </x:c>
      <x:c r="V71" s="66" t="str">
        <x:v>初期仮説。キーワード調査後に需要・競合点を更新。</x:v>
      </x:c>
      <x:c r="W71" s="66" t="str">
        <x:v>要確認（7条件）</x:v>
      </x:c>
      <x:c r="X71" s="79" t="n">
        <x:v>4</x:v>
      </x:c>
      <x:c r="Y71" s="77" t="str">
        <x:f>IF(X71=5,"★★★★★",IF(X71=4,"★★★★☆",IF(X71=3,"★★★☆☆","★★☆☆☆")))</x:f>
        <x:v>★★★★☆</x:v>
      </x:c>
      <x:c r="Z71" s="238" t="n">
        <x:v>73</x:v>
      </x:c>
    </x:row>
    <x:row r="72" ht="30" hidden="0" customHeight="1">
      <x:c r="A72" s="75" t="str">
        <x:v>HARRIER</x:v>
      </x:c>
      <x:c r="B72" s="77" t="str">
        <x:v>★★★★★</x:v>
      </x:c>
      <x:c r="C72" s="66" t="str">
        <x:v>型式</x:v>
      </x:c>
      <x:c r="D72" s="66" t="str">
        <x:v>ハリアー 型式 一覧</x:v>
      </x:c>
      <x:c r="E72" s="66"/>
      <x:c r="F72" s="77" t="str">
        <x:v>新規</x:v>
      </x:c>
      <x:c r="G72" s="79" t="n">
        <x:v>24</x:v>
      </x:c>
      <x:c r="H72" s="79" t="n">
        <x:v>20</x:v>
      </x:c>
      <x:c r="I72" s="79" t="n">
        <x:v>25</x:v>
      </x:c>
      <x:c r="J72" s="79" t="n">
        <x:v>0</x:v>
      </x:c>
      <x:c r="K72" s="79" t="n">
        <x:v>0</x:v>
      </x:c>
      <x:c r="L72" s="126"/>
      <x:c r="M72" s="77" t="str">
        <x:v>B</x:v>
      </x:c>
      <x:c r="N72" s="66" t="str">
        <x:v>要制作</x:v>
      </x:c>
      <x:c r="O72" s="77" t="str">
        <x:v>型式</x:v>
      </x:c>
      <x:c r="P72" s="79" t="n">
        <x:v>3</x:v>
      </x:c>
      <x:c r="Q72" s="77" t="str">
        <x:v>★★★☆☆</x:v>
      </x:c>
      <x:c r="R72" s="77" t="str">
        <x:v>未公開</x:v>
      </x:c>
      <x:c r="S72" s="79" t="n">
        <x:v>36000</x:v>
      </x:c>
      <x:c r="T72" s="77" t="str">
        <x:v>未着手</x:v>
      </x:c>
      <x:c r="U72" s="81" t="n">
        <x:v>46255</x:v>
      </x:c>
      <x:c r="V72" s="66" t="str">
        <x:v>初期仮説。キーワード調査後に需要・競合点を更新。</x:v>
      </x:c>
      <x:c r="W72" s="66" t="str">
        <x:v>要確認（7条件）</x:v>
      </x:c>
      <x:c r="X72" s="79" t="n">
        <x:v>4</x:v>
      </x:c>
      <x:c r="Y72" s="77" t="str">
        <x:f>IF(X72=5,"★★★★★",IF(X72=4,"★★★★☆",IF(X72=3,"★★★☆☆","★★☆☆☆")))</x:f>
        <x:v>★★★★☆</x:v>
      </x:c>
      <x:c r="Z72" s="238" t="n">
        <x:v>65</x:v>
      </x:c>
    </x:row>
    <x:row r="73" ht="30" hidden="0" customHeight="1">
      <x:c r="A73" s="75" t="str">
        <x:v>PRIUS</x:v>
      </x:c>
      <x:c r="B73" s="77" t="str">
        <x:v>★★★★★</x:v>
      </x:c>
      <x:c r="C73" s="66" t="str">
        <x:v>歴代</x:v>
      </x:c>
      <x:c r="D73" s="66" t="str">
        <x:v>プリウス 歴代</x:v>
      </x:c>
      <x:c r="E73" s="66"/>
      <x:c r="F73" s="77" t="str">
        <x:v>新規</x:v>
      </x:c>
      <x:c r="G73" s="79" t="n">
        <x:v>40</x:v>
      </x:c>
      <x:c r="H73" s="79" t="n">
        <x:v>10</x:v>
      </x:c>
      <x:c r="I73" s="79" t="n">
        <x:v>30</x:v>
      </x:c>
      <x:c r="J73" s="79" t="n">
        <x:v>0</x:v>
      </x:c>
      <x:c r="K73" s="79" t="n">
        <x:v>0</x:v>
      </x:c>
      <x:c r="L73" s="126"/>
      <x:c r="M73" s="77" t="str">
        <x:v>A</x:v>
      </x:c>
      <x:c r="N73" s="66" t="str">
        <x:v>要制作</x:v>
      </x:c>
      <x:c r="O73" s="77" t="str">
        <x:v>歴代モデル</x:v>
      </x:c>
      <x:c r="P73" s="79" t="n">
        <x:v>6</x:v>
      </x:c>
      <x:c r="Q73" s="77" t="str">
        <x:v>★★★★★</x:v>
      </x:c>
      <x:c r="R73" s="77" t="str">
        <x:v>未公開</x:v>
      </x:c>
      <x:c r="S73" s="79" t="n">
        <x:v>60000</x:v>
      </x:c>
      <x:c r="T73" s="77" t="str">
        <x:v>ASSET_REQUIRED: PRIUS 5世代統一ライブラリ</x:v>
      </x:c>
      <x:c r="U73" s="81" t="n">
        <x:v>46255</x:v>
      </x:c>
      <x:c r="V73" s="66" t="str">
        <x:v>初期仮説。キーワード調査後に需要・競合点を更新。｜画像Asset制作キュー参照。完成後はASSET_READYへ更新。</x:v>
      </x:c>
      <x:c r="W73" s="66" t="str">
        <x:v>要確認（7条件）</x:v>
      </x:c>
      <x:c r="X73" s="79" t="n">
        <x:v>5</x:v>
      </x:c>
      <x:c r="Y73" s="77" t="str">
        <x:f>IF(X73=5,"★★★★★",IF(X73=4,"★★★★☆",IF(X73=3,"★★★☆☆","★★☆☆☆")))</x:f>
        <x:v>★★★★★</x:v>
      </x:c>
      <x:c r="Z73" s="238" t="n">
        <x:v>81.7</x:v>
      </x:c>
    </x:row>
    <x:row r="74" ht="30" hidden="0" customHeight="1">
      <x:c r="A74" s="75" t="str">
        <x:v>PRIUS</x:v>
      </x:c>
      <x:c r="B74" s="77" t="str">
        <x:v>★★★★★</x:v>
      </x:c>
      <x:c r="C74" s="66" t="str">
        <x:v>30系・50系・60系</x:v>
      </x:c>
      <x:c r="D74" s="66" t="str">
        <x:v>プリウス 30系 50系 60系 違い</x:v>
      </x:c>
      <x:c r="E74" s="66"/>
      <x:c r="F74" s="77" t="str">
        <x:v>新規</x:v>
      </x:c>
      <x:c r="G74" s="79" t="n">
        <x:v>38</x:v>
      </x:c>
      <x:c r="H74" s="79" t="n">
        <x:v>12</x:v>
      </x:c>
      <x:c r="I74" s="79" t="n">
        <x:v>30</x:v>
      </x:c>
      <x:c r="J74" s="79" t="n">
        <x:v>0</x:v>
      </x:c>
      <x:c r="K74" s="79" t="n">
        <x:v>0</x:v>
      </x:c>
      <x:c r="L74" s="126"/>
      <x:c r="M74" s="77" t="str">
        <x:v>A</x:v>
      </x:c>
      <x:c r="N74" s="66" t="str">
        <x:v>要制作</x:v>
      </x:c>
      <x:c r="O74" s="77" t="str">
        <x:v>世代比較</x:v>
      </x:c>
      <x:c r="P74" s="79" t="n">
        <x:v>6</x:v>
      </x:c>
      <x:c r="Q74" s="77" t="str">
        <x:v>★★★★★</x:v>
      </x:c>
      <x:c r="R74" s="77" t="str">
        <x:v>未公開</x:v>
      </x:c>
      <x:c r="S74" s="79" t="n">
        <x:v>68400</x:v>
      </x:c>
      <x:c r="T74" s="77" t="str">
        <x:v>ASSET_REQUIRED: PRIUS 5世代統一ライブラリ</x:v>
      </x:c>
      <x:c r="U74" s="81" t="n">
        <x:v>46255</x:v>
      </x:c>
      <x:c r="V74" s="66" t="str">
        <x:v>初期仮説。キーワード調査後に需要・競合点を更新。｜画像Asset制作キュー参照。完成後はASSET_READYへ更新。</x:v>
      </x:c>
      <x:c r="W74" s="66" t="str">
        <x:v>要確認（7条件）</x:v>
      </x:c>
      <x:c r="X74" s="79" t="n">
        <x:v>5</x:v>
      </x:c>
      <x:c r="Y74" s="77" t="str">
        <x:f>IF(X74=5,"★★★★★",IF(X74=4,"★★★★☆",IF(X74=3,"★★★☆☆","★★☆☆☆")))</x:f>
        <x:v>★★★★★</x:v>
      </x:c>
      <x:c r="Z74" s="238" t="n">
        <x:v>81.3</x:v>
      </x:c>
    </x:row>
    <x:row r="75" ht="30" hidden="0" customHeight="1">
      <x:c r="A75" s="75" t="str">
        <x:v>PRIUS</x:v>
      </x:c>
      <x:c r="B75" s="77" t="str">
        <x:v>★★★★★</x:v>
      </x:c>
      <x:c r="C75" s="66" t="str">
        <x:v>見分け方</x:v>
      </x:c>
      <x:c r="D75" s="66" t="str">
        <x:v>プリウス 歴代 見分け方</x:v>
      </x:c>
      <x:c r="E75" s="66"/>
      <x:c r="F75" s="77" t="str">
        <x:v>新規</x:v>
      </x:c>
      <x:c r="G75" s="79" t="n">
        <x:v>32</x:v>
      </x:c>
      <x:c r="H75" s="79" t="n">
        <x:v>16</x:v>
      </x:c>
      <x:c r="I75" s="79" t="n">
        <x:v>30</x:v>
      </x:c>
      <x:c r="J75" s="79" t="n">
        <x:v>0</x:v>
      </x:c>
      <x:c r="K75" s="79" t="n">
        <x:v>0</x:v>
      </x:c>
      <x:c r="L75" s="126"/>
      <x:c r="M75" s="77" t="str">
        <x:v>A</x:v>
      </x:c>
      <x:c r="N75" s="66" t="str">
        <x:v>要制作</x:v>
      </x:c>
      <x:c r="O75" s="77" t="str">
        <x:v>見分け方</x:v>
      </x:c>
      <x:c r="P75" s="79" t="n">
        <x:v>6</x:v>
      </x:c>
      <x:c r="Q75" s="77" t="str">
        <x:v>★★★★★</x:v>
      </x:c>
      <x:c r="R75" s="77" t="str">
        <x:v>未公開</x:v>
      </x:c>
      <x:c r="S75" s="79" t="n">
        <x:v>76800</x:v>
      </x:c>
      <x:c r="T75" s="77" t="str">
        <x:v>ASSET_REQUIRED: PRIUS 5世代統一ライブラリ</x:v>
      </x:c>
      <x:c r="U75" s="81" t="n">
        <x:v>46255</x:v>
      </x:c>
      <x:c r="V75" s="66" t="str">
        <x:v>初期仮説。キーワード調査後に需要・競合点を更新。｜画像Asset制作キュー参照。完成後はASSET_READYへ更新。</x:v>
      </x:c>
      <x:c r="W75" s="66" t="str">
        <x:v>要確認（7条件）</x:v>
      </x:c>
      <x:c r="X75" s="79" t="n">
        <x:v>5</x:v>
      </x:c>
      <x:c r="Y75" s="77" t="str">
        <x:f>IF(X75=5,"★★★★★",IF(X75=4,"★★★★☆",IF(X75=3,"★★★☆☆","★★☆☆☆")))</x:f>
        <x:v>★★★★★</x:v>
      </x:c>
      <x:c r="Z75" s="238" t="n">
        <x:v>78.7</x:v>
      </x:c>
    </x:row>
    <x:row r="76" ht="30" hidden="0" customHeight="1">
      <x:c r="A76" s="75" t="str">
        <x:v>PRIUS</x:v>
      </x:c>
      <x:c r="B76" s="77" t="str">
        <x:v>★★★★★</x:v>
      </x:c>
      <x:c r="C76" s="66" t="str">
        <x:v>前期・後期</x:v>
      </x:c>
      <x:c r="D76" s="66" t="str">
        <x:v>プリウス 50系 前期 後期 見分け方</x:v>
      </x:c>
      <x:c r="E76" s="66"/>
      <x:c r="F76" s="77" t="str">
        <x:v>新規</x:v>
      </x:c>
      <x:c r="G76" s="79" t="n">
        <x:v>30</x:v>
      </x:c>
      <x:c r="H76" s="79" t="n">
        <x:v>17</x:v>
      </x:c>
      <x:c r="I76" s="79" t="n">
        <x:v>28</x:v>
      </x:c>
      <x:c r="J76" s="79" t="n">
        <x:v>0</x:v>
      </x:c>
      <x:c r="K76" s="79" t="n">
        <x:v>0</x:v>
      </x:c>
      <x:c r="L76" s="126"/>
      <x:c r="M76" s="77" t="str">
        <x:v>A</x:v>
      </x:c>
      <x:c r="N76" s="66" t="str">
        <x:v>要制作</x:v>
      </x:c>
      <x:c r="O76" s="77" t="str">
        <x:v>前期後期</x:v>
      </x:c>
      <x:c r="P76" s="79" t="n">
        <x:v>6</x:v>
      </x:c>
      <x:c r="Q76" s="77" t="str">
        <x:v>★★★★★</x:v>
      </x:c>
      <x:c r="R76" s="77" t="str">
        <x:v>未公開</x:v>
      </x:c>
      <x:c r="S76" s="79" t="n">
        <x:v>71400</x:v>
      </x:c>
      <x:c r="T76" s="77" t="str">
        <x:v>ASSET_REQUIRED: PRIUS 50系前後期統一2枚</x:v>
      </x:c>
      <x:c r="U76" s="81" t="n">
        <x:v>46255</x:v>
      </x:c>
      <x:c r="V76" s="66" t="str">
        <x:v>初期仮説。キーワード調査後に需要・競合点を更新。｜画像Asset制作キュー参照。完成後はASSET_READYへ更新。</x:v>
      </x:c>
      <x:c r="W76" s="66" t="str">
        <x:v>要確認（7条件）</x:v>
      </x:c>
      <x:c r="X76" s="79" t="n">
        <x:v>5</x:v>
      </x:c>
      <x:c r="Y76" s="77" t="str">
        <x:f>IF(X76=5,"★★★★★",IF(X76=4,"★★★★☆",IF(X76=3,"★★★☆☆","★★☆☆☆")))</x:f>
        <x:v>★★★★★</x:v>
      </x:c>
      <x:c r="Z76" s="238" t="n">
        <x:v>76.3</x:v>
      </x:c>
    </x:row>
    <x:row r="77" ht="30" hidden="0" customHeight="1">
      <x:c r="A77" s="75" t="str">
        <x:v>PRIUS</x:v>
      </x:c>
      <x:c r="B77" s="77" t="str">
        <x:v>★★★★★</x:v>
      </x:c>
      <x:c r="C77" s="66" t="str">
        <x:v>型式</x:v>
      </x:c>
      <x:c r="D77" s="66" t="str">
        <x:v>プリウス 型式 一覧</x:v>
      </x:c>
      <x:c r="E77" s="66"/>
      <x:c r="F77" s="77" t="str">
        <x:v>新規</x:v>
      </x:c>
      <x:c r="G77" s="79" t="n">
        <x:v>27</x:v>
      </x:c>
      <x:c r="H77" s="79" t="n">
        <x:v>18</x:v>
      </x:c>
      <x:c r="I77" s="79" t="n">
        <x:v>25</x:v>
      </x:c>
      <x:c r="J77" s="79" t="n">
        <x:v>0</x:v>
      </x:c>
      <x:c r="K77" s="79" t="n">
        <x:v>0</x:v>
      </x:c>
      <x:c r="L77" s="126"/>
      <x:c r="M77" s="77" t="str">
        <x:v>B</x:v>
      </x:c>
      <x:c r="N77" s="66" t="str">
        <x:v>要制作</x:v>
      </x:c>
      <x:c r="O77" s="77" t="str">
        <x:v>型式</x:v>
      </x:c>
      <x:c r="P77" s="79" t="n">
        <x:v>3</x:v>
      </x:c>
      <x:c r="Q77" s="77" t="str">
        <x:v>★★★☆☆</x:v>
      </x:c>
      <x:c r="R77" s="77" t="str">
        <x:v>未公開</x:v>
      </x:c>
      <x:c r="S77" s="79" t="n">
        <x:v>36450</x:v>
      </x:c>
      <x:c r="T77" s="77" t="str">
        <x:v>未着手</x:v>
      </x:c>
      <x:c r="U77" s="81" t="n">
        <x:v>46255</x:v>
      </x:c>
      <x:c r="V77" s="66" t="str">
        <x:v>初期仮説。キーワード調査後に需要・競合点を更新。</x:v>
      </x:c>
      <x:c r="W77" s="66" t="str">
        <x:v>要確認（7条件）</x:v>
      </x:c>
      <x:c r="X77" s="79" t="n">
        <x:v>5</x:v>
      </x:c>
      <x:c r="Y77" s="77" t="str">
        <x:f>IF(X77=5,"★★★★★",IF(X77=4,"★★★★☆",IF(X77=3,"★★★☆☆","★★☆☆☆")))</x:f>
        <x:v>★★★★★</x:v>
      </x:c>
      <x:c r="Z77" s="238" t="n">
        <x:v>68.3</x:v>
      </x:c>
    </x:row>
    <x:row r="78" ht="30" hidden="0" customHeight="1">
      <x:c r="A78" s="75" t="str">
        <x:v>STEPWGN</x:v>
      </x:c>
      <x:c r="B78" s="77" t="str">
        <x:v>★★★★☆</x:v>
      </x:c>
      <x:c r="C78" s="66" t="str">
        <x:v>歴代</x:v>
      </x:c>
      <x:c r="D78" s="66" t="str">
        <x:v>ステップワゴン 歴代</x:v>
      </x:c>
      <x:c r="E78" s="66" t="str">
        <x:v>https://carvista.jp/cars/stepwgn.html</x:v>
      </x:c>
      <x:c r="F78" s="77" t="str">
        <x:v>改善</x:v>
      </x:c>
      <x:c r="G78" s="79" t="n">
        <x:v>32</x:v>
      </x:c>
      <x:c r="H78" s="79" t="n">
        <x:v>17</x:v>
      </x:c>
      <x:c r="I78" s="79" t="n">
        <x:v>30</x:v>
      </x:c>
      <x:c r="J78" s="79" t="n">
        <x:v>0</x:v>
      </x:c>
      <x:c r="K78" s="79" t="n">
        <x:v>0</x:v>
      </x:c>
      <x:c r="L78" s="126"/>
      <x:c r="M78" s="77" t="str">
        <x:v>A</x:v>
      </x:c>
      <x:c r="N78" s="66" t="str">
        <x:v>既存あり・比較画像を転用可</x:v>
      </x:c>
      <x:c r="O78" s="77" t="str">
        <x:v>歴代モデル</x:v>
      </x:c>
      <x:c r="P78" s="79" t="n">
        <x:v>6</x:v>
      </x:c>
      <x:c r="Q78" s="77" t="str">
        <x:v>★★★★★</x:v>
      </x:c>
      <x:c r="R78" s="77" t="str">
        <x:v>公開済み</x:v>
      </x:c>
      <x:c r="S78" s="79" t="n">
        <x:v>81600</x:v>
      </x:c>
      <x:c r="T78" s="77" t="str">
        <x:v>公開済み・深掘り候補</x:v>
      </x:c>
      <x:c r="U78" s="81" t="n">
        <x:v>46255</x:v>
      </x:c>
      <x:c r="V78" s="66" t="str">
        <x:v>初期仮説。キーワード調査後に需要・競合点を更新。</x:v>
      </x:c>
      <x:c r="W78" s="66" t="str">
        <x:v>公開済み</x:v>
      </x:c>
      <x:c r="X78" s="79" t="n">
        <x:v>4</x:v>
      </x:c>
      <x:c r="Y78" s="77" t="str">
        <x:f>IF(X78=5,"★★★★★",IF(X78=4,"★★★★☆",IF(X78=3,"★★★☆☆","★★☆☆☆")))</x:f>
        <x:v>★★★★☆</x:v>
      </x:c>
      <x:c r="Z78" s="238" t="n">
        <x:v>77.3</x:v>
      </x:c>
    </x:row>
    <x:row r="79" ht="30" hidden="0" customHeight="1">
      <x:c r="A79" s="75" t="str">
        <x:v>STEPWGN</x:v>
      </x:c>
      <x:c r="B79" s="77" t="str">
        <x:v>★★★★☆</x:v>
      </x:c>
      <x:c r="C79" s="66" t="str">
        <x:v>見分け方</x:v>
      </x:c>
      <x:c r="D79" s="66" t="str">
        <x:v>ステップワゴン 歴代 見分け方</x:v>
      </x:c>
      <x:c r="E79" s="66" t="str">
        <x:v>https://carvista.jp/cars/stepwgn.html</x:v>
      </x:c>
      <x:c r="F79" s="77" t="str">
        <x:v>新規</x:v>
      </x:c>
      <x:c r="G79" s="79" t="n">
        <x:v>26</x:v>
      </x:c>
      <x:c r="H79" s="79" t="n">
        <x:v>20</x:v>
      </x:c>
      <x:c r="I79" s="79" t="n">
        <x:v>30</x:v>
      </x:c>
      <x:c r="J79" s="79" t="n">
        <x:v>0</x:v>
      </x:c>
      <x:c r="K79" s="79" t="n">
        <x:v>0</x:v>
      </x:c>
      <x:c r="L79" s="126"/>
      <x:c r="M79" s="77" t="str">
        <x:v>A</x:v>
      </x:c>
      <x:c r="N79" s="66" t="str">
        <x:v>既存あり・比較画像を転用可</x:v>
      </x:c>
      <x:c r="O79" s="77" t="str">
        <x:v>見分け方</x:v>
      </x:c>
      <x:c r="P79" s="79" t="n">
        <x:v>6</x:v>
      </x:c>
      <x:c r="Q79" s="77" t="str">
        <x:v>★★★★★</x:v>
      </x:c>
      <x:c r="R79" s="77" t="str">
        <x:v>未公開</x:v>
      </x:c>
      <x:c r="S79" s="79" t="n">
        <x:v>78000</x:v>
      </x:c>
      <x:c r="T79" s="77" t="str">
        <x:v>未着手</x:v>
      </x:c>
      <x:c r="U79" s="81" t="n">
        <x:v>46255</x:v>
      </x:c>
      <x:c r="V79" s="66" t="str">
        <x:v>初期仮説。キーワード調査後に需要・競合点を更新。</x:v>
      </x:c>
      <x:c r="W79" s="66" t="str">
        <x:v>要確認（7条件）</x:v>
      </x:c>
      <x:c r="X79" s="79" t="n">
        <x:v>4</x:v>
      </x:c>
      <x:c r="Y79" s="77" t="str">
        <x:f>IF(X79=5,"★★★★★",IF(X79=4,"★★★★☆",IF(X79=3,"★★★☆☆","★★☆☆☆")))</x:f>
        <x:v>★★★★☆</x:v>
      </x:c>
      <x:c r="Z79" s="238" t="n">
        <x:v>74.1</x:v>
      </x:c>
    </x:row>
    <x:row r="80" ht="30" hidden="0" customHeight="1">
      <x:c r="A80" s="75" t="str">
        <x:v>STEPWGN</x:v>
      </x:c>
      <x:c r="B80" s="77" t="str">
        <x:v>★★★★☆</x:v>
      </x:c>
      <x:c r="C80" s="66" t="str">
        <x:v>前期・後期</x:v>
      </x:c>
      <x:c r="D80" s="66" t="str">
        <x:v>ステップワゴン RP 前期 後期 見分け方</x:v>
      </x:c>
      <x:c r="E80" s="66" t="str">
        <x:v>https://carvista.jp/cars/stepwgn.html</x:v>
      </x:c>
      <x:c r="F80" s="77" t="str">
        <x:v>新規</x:v>
      </x:c>
      <x:c r="G80" s="79" t="n">
        <x:v>24</x:v>
      </x:c>
      <x:c r="H80" s="79" t="n">
        <x:v>21</x:v>
      </x:c>
      <x:c r="I80" s="79" t="n">
        <x:v>28</x:v>
      </x:c>
      <x:c r="J80" s="79" t="n">
        <x:v>0</x:v>
      </x:c>
      <x:c r="K80" s="79" t="n">
        <x:v>0</x:v>
      </x:c>
      <x:c r="L80" s="126"/>
      <x:c r="M80" s="77" t="str">
        <x:v>A</x:v>
      </x:c>
      <x:c r="N80" s="66" t="str">
        <x:v>既存あり・比較画像を転用可</x:v>
      </x:c>
      <x:c r="O80" s="77" t="str">
        <x:v>前期後期</x:v>
      </x:c>
      <x:c r="P80" s="79" t="n">
        <x:v>6</x:v>
      </x:c>
      <x:c r="Q80" s="77" t="str">
        <x:v>★★★★★</x:v>
      </x:c>
      <x:c r="R80" s="77" t="str">
        <x:v>未公開</x:v>
      </x:c>
      <x:c r="S80" s="79" t="n">
        <x:v>70560</x:v>
      </x:c>
      <x:c r="T80" s="77" t="str">
        <x:v>未着手</x:v>
      </x:c>
      <x:c r="U80" s="81" t="n">
        <x:v>46255</x:v>
      </x:c>
      <x:c r="V80" s="66" t="str">
        <x:v>初期仮説。キーワード調査後に需要・競合点を更新。</x:v>
      </x:c>
      <x:c r="W80" s="66" t="str">
        <x:v>要確認（7条件）</x:v>
      </x:c>
      <x:c r="X80" s="79" t="n">
        <x:v>4</x:v>
      </x:c>
      <x:c r="Y80" s="77" t="str">
        <x:f>IF(X80=5,"★★★★★",IF(X80=4,"★★★★☆",IF(X80=3,"★★★☆☆","★★☆☆☆")))</x:f>
        <x:v>★★★★☆</x:v>
      </x:c>
      <x:c r="Z80" s="238" t="n">
        <x:v>71.7</x:v>
      </x:c>
    </x:row>
    <x:row r="81" ht="30" hidden="0" customHeight="1">
      <x:c r="A81" s="75" t="str">
        <x:v>STEPWGN</x:v>
      </x:c>
      <x:c r="B81" s="77" t="str">
        <x:v>★★★★☆</x:v>
      </x:c>
      <x:c r="C81" s="66" t="str">
        <x:v>型式</x:v>
      </x:c>
      <x:c r="D81" s="66" t="str">
        <x:v>ステップワゴン 型式 一覧</x:v>
      </x:c>
      <x:c r="E81" s="66" t="str">
        <x:v>https://carvista.jp/cars/stepwgn.html</x:v>
      </x:c>
      <x:c r="F81" s="77" t="str">
        <x:v>新規</x:v>
      </x:c>
      <x:c r="G81" s="79" t="n">
        <x:v>21</x:v>
      </x:c>
      <x:c r="H81" s="79" t="n">
        <x:v>22</x:v>
      </x:c>
      <x:c r="I81" s="79" t="n">
        <x:v>25</x:v>
      </x:c>
      <x:c r="J81" s="79" t="n">
        <x:v>0</x:v>
      </x:c>
      <x:c r="K81" s="79" t="n">
        <x:v>0</x:v>
      </x:c>
      <x:c r="L81" s="126"/>
      <x:c r="M81" s="77" t="str">
        <x:v>B</x:v>
      </x:c>
      <x:c r="N81" s="66" t="str">
        <x:v>既存あり・一部転用可</x:v>
      </x:c>
      <x:c r="O81" s="77" t="str">
        <x:v>型式</x:v>
      </x:c>
      <x:c r="P81" s="79" t="n">
        <x:v>3</x:v>
      </x:c>
      <x:c r="Q81" s="77" t="str">
        <x:v>★★★☆☆</x:v>
      </x:c>
      <x:c r="R81" s="77" t="str">
        <x:v>未公開</x:v>
      </x:c>
      <x:c r="S81" s="79" t="n">
        <x:v>34650</x:v>
      </x:c>
      <x:c r="T81" s="77" t="str">
        <x:v>未着手</x:v>
      </x:c>
      <x:c r="U81" s="81" t="n">
        <x:v>46255</x:v>
      </x:c>
      <x:c r="V81" s="66" t="str">
        <x:v>初期仮説。キーワード調査後に需要・競合点を更新。</x:v>
      </x:c>
      <x:c r="W81" s="66" t="str">
        <x:v>要確認（7条件）</x:v>
      </x:c>
      <x:c r="X81" s="79" t="n">
        <x:v>4</x:v>
      </x:c>
      <x:c r="Y81" s="77" t="str">
        <x:f>IF(X81=5,"★★★★★",IF(X81=4,"★★★★☆",IF(X81=3,"★★★☆☆","★★☆☆☆")))</x:f>
        <x:v>★★★★☆</x:v>
      </x:c>
      <x:c r="Z81" s="238" t="n">
        <x:v>63.7</x:v>
      </x:c>
    </x:row>
    <x:row r="82" ht="30" hidden="0" customHeight="1">
      <x:c r="A82" s="75" t="str">
        <x:v>STEPWGN</x:v>
      </x:c>
      <x:c r="B82" s="77" t="str">
        <x:v>★★★★☆</x:v>
      </x:c>
      <x:c r="C82" s="66" t="str">
        <x:v>サイズ比較</x:v>
      </x:c>
      <x:c r="D82" s="66" t="str">
        <x:v>ステップワゴン ノア セレナ サイズ 比較</x:v>
      </x:c>
      <x:c r="E82" s="66" t="str">
        <x:v>https://carvista.jp/compare-noah-serena-stepwgn.html</x:v>
      </x:c>
      <x:c r="F82" s="77" t="str">
        <x:v>改善</x:v>
      </x:c>
      <x:c r="G82" s="79" t="n">
        <x:v>26</x:v>
      </x:c>
      <x:c r="H82" s="79" t="n">
        <x:v>20</x:v>
      </x:c>
      <x:c r="I82" s="79" t="n">
        <x:v>30</x:v>
      </x:c>
      <x:c r="J82" s="79" t="n">
        <x:v>0</x:v>
      </x:c>
      <x:c r="K82" s="79" t="n">
        <x:v>0</x:v>
      </x:c>
      <x:c r="L82" s="126"/>
      <x:c r="M82" s="77" t="str">
        <x:v>A</x:v>
      </x:c>
      <x:c r="N82" s="66" t="str">
        <x:v>既存あり・比較画像を転用可</x:v>
      </x:c>
      <x:c r="O82" s="77" t="str">
        <x:v>サイズ比較</x:v>
      </x:c>
      <x:c r="P82" s="79" t="n">
        <x:v>6</x:v>
      </x:c>
      <x:c r="Q82" s="77" t="str">
        <x:v>★★★★★</x:v>
      </x:c>
      <x:c r="R82" s="77" t="str">
        <x:v>公開済み</x:v>
      </x:c>
      <x:c r="S82" s="79" t="n">
        <x:v>78000</x:v>
      </x:c>
      <x:c r="T82" s="77" t="str">
        <x:v>公開済み・深掘り候補</x:v>
      </x:c>
      <x:c r="U82" s="81" t="n">
        <x:v>46255</x:v>
      </x:c>
      <x:c r="V82" s="66" t="str">
        <x:v>初期仮説。キーワード調査後に需要・競合点を更新。</x:v>
      </x:c>
      <x:c r="W82" s="66" t="str">
        <x:v>公開済み</x:v>
      </x:c>
      <x:c r="X82" s="79" t="n">
        <x:v>4</x:v>
      </x:c>
      <x:c r="Y82" s="77" t="str">
        <x:f>IF(X82=5,"★★★★★",IF(X82=4,"★★★★☆",IF(X82=3,"★★★☆☆","★★☆☆☆")))</x:f>
        <x:v>★★★★☆</x:v>
      </x:c>
      <x:c r="Z82" s="238" t="n">
        <x:v>74.1</x:v>
      </x:c>
    </x:row>
    <x:row r="83" ht="30" hidden="0" customHeight="1">
      <x:c r="A83" s="75" t="str">
        <x:v>STEPWGN</x:v>
      </x:c>
      <x:c r="B83" s="77" t="str">
        <x:v>★★★★☆</x:v>
      </x:c>
      <x:c r="C83" s="66" t="str">
        <x:v>競合比較</x:v>
      </x:c>
      <x:c r="D83" s="66" t="str">
        <x:v>ステップワゴン ノア セレナ 違い</x:v>
      </x:c>
      <x:c r="E83" s="66" t="str">
        <x:v>https://carvista.jp/compare-noah-serena-stepwgn.html</x:v>
      </x:c>
      <x:c r="F83" s="77" t="str">
        <x:v>改善</x:v>
      </x:c>
      <x:c r="G83" s="79" t="n">
        <x:v>30</x:v>
      </x:c>
      <x:c r="H83" s="79" t="n">
        <x:v>18</x:v>
      </x:c>
      <x:c r="I83" s="79" t="n">
        <x:v>30</x:v>
      </x:c>
      <x:c r="J83" s="79" t="n">
        <x:v>0</x:v>
      </x:c>
      <x:c r="K83" s="79" t="n">
        <x:v>0</x:v>
      </x:c>
      <x:c r="L83" s="126"/>
      <x:c r="M83" s="77" t="str">
        <x:v>A</x:v>
      </x:c>
      <x:c r="N83" s="66" t="str">
        <x:v>既存あり・比較画像を転用可</x:v>
      </x:c>
      <x:c r="O83" s="77" t="str">
        <x:v>競合比較</x:v>
      </x:c>
      <x:c r="P83" s="79" t="n">
        <x:v>6</x:v>
      </x:c>
      <x:c r="Q83" s="77" t="str">
        <x:v>★★★★★</x:v>
      </x:c>
      <x:c r="R83" s="77" t="str">
        <x:v>公開済み</x:v>
      </x:c>
      <x:c r="S83" s="79" t="n">
        <x:v>81000</x:v>
      </x:c>
      <x:c r="T83" s="77" t="str">
        <x:v>公開済み・深掘り候補</x:v>
      </x:c>
      <x:c r="U83" s="81" t="n">
        <x:v>46255</x:v>
      </x:c>
      <x:c r="V83" s="66" t="str">
        <x:v>初期仮説。キーワード調査後に需要・競合点を更新。</x:v>
      </x:c>
      <x:c r="W83" s="66" t="str">
        <x:v>公開済み</x:v>
      </x:c>
      <x:c r="X83" s="79" t="n">
        <x:v>4</x:v>
      </x:c>
      <x:c r="Y83" s="77" t="str">
        <x:f>IF(X83=5,"★★★★★",IF(X83=4,"★★★★☆",IF(X83=3,"★★★☆☆","★★☆☆☆")))</x:f>
        <x:v>★★★★☆</x:v>
      </x:c>
      <x:c r="Z83" s="238" t="n">
        <x:v>76.3</x:v>
      </x:c>
    </x:row>
    <x:row r="84" ht="30" hidden="0" customHeight="1">
      <x:c r="A84" s="75" t="str">
        <x:v>SOLIO</x:v>
      </x:c>
      <x:c r="B84" s="77" t="str">
        <x:v>★★★★☆</x:v>
      </x:c>
      <x:c r="C84" s="66" t="str">
        <x:v>歴代</x:v>
      </x:c>
      <x:c r="D84" s="66" t="str">
        <x:v>ソリオ 歴代</x:v>
      </x:c>
      <x:c r="E84" s="66" t="str">
        <x:v>https://carvista.jp/cars/solio.html</x:v>
      </x:c>
      <x:c r="F84" s="77" t="str">
        <x:v>改善</x:v>
      </x:c>
      <x:c r="G84" s="79" t="n">
        <x:v>28</x:v>
      </x:c>
      <x:c r="H84" s="79" t="n">
        <x:v>19</x:v>
      </x:c>
      <x:c r="I84" s="79" t="n">
        <x:v>30</x:v>
      </x:c>
      <x:c r="J84" s="79" t="n">
        <x:v>1</x:v>
      </x:c>
      <x:c r="K84" s="79" t="n">
        <x:v>0</x:v>
      </x:c>
      <x:c r="L84" s="126"/>
      <x:c r="M84" s="77" t="str">
        <x:v>A</x:v>
      </x:c>
      <x:c r="N84" s="66" t="str">
        <x:v>既存あり・比較画像を転用可</x:v>
      </x:c>
      <x:c r="O84" s="77" t="str">
        <x:v>歴代モデル</x:v>
      </x:c>
      <x:c r="P84" s="79" t="n">
        <x:v>6</x:v>
      </x:c>
      <x:c r="Q84" s="77" t="str">
        <x:v>★★★★★</x:v>
      </x:c>
      <x:c r="R84" s="77" t="str">
        <x:v>公開済み</x:v>
      </x:c>
      <x:c r="S84" s="79" t="n">
        <x:v>79800</x:v>
      </x:c>
      <x:c r="T84" s="77" t="str">
        <x:v>公開済み・GSC観測</x:v>
      </x:c>
      <x:c r="U84" s="81" t="n">
        <x:v>46255</x:v>
      </x:c>
      <x:c r="V84" s="66" t="str">
        <x:v>GSC表示あり。順位を確認し、近接意図を優先検討。</x:v>
      </x:c>
      <x:c r="W84" s="66" t="str">
        <x:v>公開済み</x:v>
      </x:c>
      <x:c r="X84" s="79" t="n">
        <x:v>3</x:v>
      </x:c>
      <x:c r="Y84" s="77" t="str">
        <x:f>IF(X84=5,"★★★★★",IF(X84=4,"★★★★☆",IF(X84=3,"★★★☆☆","★★☆☆☆")))</x:f>
        <x:v>★★★☆☆</x:v>
      </x:c>
      <x:c r="Z84" s="238" t="n">
        <x:v>74.2</x:v>
      </x:c>
    </x:row>
    <x:row r="85" ht="30" hidden="0" customHeight="1">
      <x:c r="A85" s="75" t="str">
        <x:v>SOLIO</x:v>
      </x:c>
      <x:c r="B85" s="77" t="str">
        <x:v>★★★★☆</x:v>
      </x:c>
      <x:c r="C85" s="66" t="str">
        <x:v>見分け方</x:v>
      </x:c>
      <x:c r="D85" s="66" t="str">
        <x:v>ソリオ 歴代 見分け方</x:v>
      </x:c>
      <x:c r="E85" s="66" t="str">
        <x:v>https://carvista.jp/cars/solio.html</x:v>
      </x:c>
      <x:c r="F85" s="77" t="str">
        <x:v>新規</x:v>
      </x:c>
      <x:c r="G85" s="79" t="n">
        <x:v>22</x:v>
      </x:c>
      <x:c r="H85" s="79" t="n">
        <x:v>22</x:v>
      </x:c>
      <x:c r="I85" s="79" t="n">
        <x:v>30</x:v>
      </x:c>
      <x:c r="J85" s="79" t="n">
        <x:v>0</x:v>
      </x:c>
      <x:c r="K85" s="79" t="n">
        <x:v>0</x:v>
      </x:c>
      <x:c r="L85" s="126"/>
      <x:c r="M85" s="77" t="str">
        <x:v>A</x:v>
      </x:c>
      <x:c r="N85" s="66" t="str">
        <x:v>既存あり・比較画像を転用可</x:v>
      </x:c>
      <x:c r="O85" s="77" t="str">
        <x:v>見分け方</x:v>
      </x:c>
      <x:c r="P85" s="79" t="n">
        <x:v>6</x:v>
      </x:c>
      <x:c r="Q85" s="77" t="str">
        <x:v>★★★★★</x:v>
      </x:c>
      <x:c r="R85" s="77" t="str">
        <x:v>未公開</x:v>
      </x:c>
      <x:c r="S85" s="79" t="n">
        <x:v>72600</x:v>
      </x:c>
      <x:c r="T85" s="77" t="str">
        <x:v>未着手</x:v>
      </x:c>
      <x:c r="U85" s="81" t="n">
        <x:v>46255</x:v>
      </x:c>
      <x:c r="V85" s="66" t="str">
        <x:v>初期仮説。キーワード調査後に需要・競合点を更新。</x:v>
      </x:c>
      <x:c r="W85" s="66" t="str">
        <x:v>要確認（7条件）</x:v>
      </x:c>
      <x:c r="X85" s="79" t="n">
        <x:v>3</x:v>
      </x:c>
      <x:c r="Y85" s="77" t="str">
        <x:f>IF(X85=5,"★★★★★",IF(X85=4,"★★★★☆",IF(X85=3,"★★★☆☆","★★☆☆☆")))</x:f>
        <x:v>★★★☆☆</x:v>
      </x:c>
      <x:c r="Z85" s="238" t="n">
        <x:v>69.9</x:v>
      </x:c>
    </x:row>
    <x:row r="86" ht="30" hidden="0" customHeight="1">
      <x:c r="A86" s="75" t="str">
        <x:v>SOLIO</x:v>
      </x:c>
      <x:c r="B86" s="77" t="str">
        <x:v>★★★★☆</x:v>
      </x:c>
      <x:c r="C86" s="66" t="str">
        <x:v>前期・後期</x:v>
      </x:c>
      <x:c r="D86" s="66" t="str">
        <x:v>ソリオ 前期 後期 見分け方</x:v>
      </x:c>
      <x:c r="E86" s="66" t="str">
        <x:v>https://carvista.jp/cars/solio.html</x:v>
      </x:c>
      <x:c r="F86" s="77" t="str">
        <x:v>新規</x:v>
      </x:c>
      <x:c r="G86" s="79" t="n">
        <x:v>20</x:v>
      </x:c>
      <x:c r="H86" s="79" t="n">
        <x:v>23</x:v>
      </x:c>
      <x:c r="I86" s="79" t="n">
        <x:v>27</x:v>
      </x:c>
      <x:c r="J86" s="79" t="n">
        <x:v>0</x:v>
      </x:c>
      <x:c r="K86" s="79" t="n">
        <x:v>0</x:v>
      </x:c>
      <x:c r="L86" s="126"/>
      <x:c r="M86" s="77" t="str">
        <x:v>A</x:v>
      </x:c>
      <x:c r="N86" s="66" t="str">
        <x:v>既存あり・比較画像を転用可</x:v>
      </x:c>
      <x:c r="O86" s="77" t="str">
        <x:v>前期後期</x:v>
      </x:c>
      <x:c r="P86" s="79" t="n">
        <x:v>6</x:v>
      </x:c>
      <x:c r="Q86" s="77" t="str">
        <x:v>★★★★★</x:v>
      </x:c>
      <x:c r="R86" s="77" t="str">
        <x:v>未公開</x:v>
      </x:c>
      <x:c r="S86" s="79" t="n">
        <x:v>62100</x:v>
      </x:c>
      <x:c r="T86" s="77" t="str">
        <x:v>未着手</x:v>
      </x:c>
      <x:c r="U86" s="81" t="n">
        <x:v>46255</x:v>
      </x:c>
      <x:c r="V86" s="66" t="str">
        <x:v>初期仮説。キーワード調査後に需要・競合点を更新。</x:v>
      </x:c>
      <x:c r="W86" s="66" t="str">
        <x:v>要確認（7条件）</x:v>
      </x:c>
      <x:c r="X86" s="79" t="n">
        <x:v>3</x:v>
      </x:c>
      <x:c r="Y86" s="77" t="str">
        <x:f>IF(X86=5,"★★★★★",IF(X86=4,"★★★★☆",IF(X86=3,"★★★☆☆","★★☆☆☆")))</x:f>
        <x:v>★★★☆☆</x:v>
      </x:c>
      <x:c r="Z86" s="238" t="n">
        <x:v>66.8</x:v>
      </x:c>
    </x:row>
    <x:row r="87" ht="30" hidden="0" customHeight="1">
      <x:c r="A87" s="75" t="str">
        <x:v>SOLIO</x:v>
      </x:c>
      <x:c r="B87" s="77" t="str">
        <x:v>★★★★☆</x:v>
      </x:c>
      <x:c r="C87" s="66" t="str">
        <x:v>型式</x:v>
      </x:c>
      <x:c r="D87" s="66" t="str">
        <x:v>ソリオ 型式 一覧</x:v>
      </x:c>
      <x:c r="E87" s="66" t="str">
        <x:v>https://carvista.jp/cars/solio.html</x:v>
      </x:c>
      <x:c r="F87" s="77" t="str">
        <x:v>新規</x:v>
      </x:c>
      <x:c r="G87" s="79" t="n">
        <x:v>18</x:v>
      </x:c>
      <x:c r="H87" s="79" t="n">
        <x:v>23</x:v>
      </x:c>
      <x:c r="I87" s="79" t="n">
        <x:v>25</x:v>
      </x:c>
      <x:c r="J87" s="79" t="n">
        <x:v>0</x:v>
      </x:c>
      <x:c r="K87" s="79" t="n">
        <x:v>0</x:v>
      </x:c>
      <x:c r="L87" s="126"/>
      <x:c r="M87" s="77" t="str">
        <x:v>B</x:v>
      </x:c>
      <x:c r="N87" s="66" t="str">
        <x:v>既存あり・一部転用可</x:v>
      </x:c>
      <x:c r="O87" s="77" t="str">
        <x:v>型式</x:v>
      </x:c>
      <x:c r="P87" s="79" t="n">
        <x:v>3</x:v>
      </x:c>
      <x:c r="Q87" s="77" t="str">
        <x:v>★★★☆☆</x:v>
      </x:c>
      <x:c r="R87" s="77" t="str">
        <x:v>未公開</x:v>
      </x:c>
      <x:c r="S87" s="79" t="n">
        <x:v>31050</x:v>
      </x:c>
      <x:c r="T87" s="77" t="str">
        <x:v>未着手</x:v>
      </x:c>
      <x:c r="U87" s="81" t="n">
        <x:v>46255</x:v>
      </x:c>
      <x:c r="V87" s="66" t="str">
        <x:v>初期仮説。キーワード調査後に需要・競合点を更新。</x:v>
      </x:c>
      <x:c r="W87" s="66" t="str">
        <x:v>要確認（7条件）</x:v>
      </x:c>
      <x:c r="X87" s="79" t="n">
        <x:v>3</x:v>
      </x:c>
      <x:c r="Y87" s="77" t="str">
        <x:f>IF(X87=5,"★★★★★",IF(X87=4,"★★★★☆",IF(X87=3,"★★★☆☆","★★☆☆☆")))</x:f>
        <x:v>★★★☆☆</x:v>
      </x:c>
      <x:c r="Z87" s="238" t="n">
        <x:v>59.8</x:v>
      </x:c>
    </x:row>
    <x:row r="88" ht="30" hidden="0" customHeight="1">
      <x:c r="A88" s="75" t="str">
        <x:v>SOLIO</x:v>
      </x:c>
      <x:c r="B88" s="77" t="str">
        <x:v>★★★★☆</x:v>
      </x:c>
      <x:c r="C88" s="66" t="str">
        <x:v>サイズ比較</x:v>
      </x:c>
      <x:c r="D88" s="66" t="str">
        <x:v>ソリオ ルーミー サイズ 比較</x:v>
      </x:c>
      <x:c r="E88" s="66" t="str">
        <x:v>https://carvista.jp/cars/solio.html</x:v>
      </x:c>
      <x:c r="F88" s="77" t="str">
        <x:v>新規</x:v>
      </x:c>
      <x:c r="G88" s="79" t="n">
        <x:v>23</x:v>
      </x:c>
      <x:c r="H88" s="79" t="n">
        <x:v>21</x:v>
      </x:c>
      <x:c r="I88" s="79" t="n">
        <x:v>27</x:v>
      </x:c>
      <x:c r="J88" s="79" t="n">
        <x:v>0</x:v>
      </x:c>
      <x:c r="K88" s="79" t="n">
        <x:v>0</x:v>
      </x:c>
      <x:c r="L88" s="126"/>
      <x:c r="M88" s="77" t="str">
        <x:v>A</x:v>
      </x:c>
      <x:c r="N88" s="66" t="str">
        <x:v>既存あり・比較画像を転用可</x:v>
      </x:c>
      <x:c r="O88" s="77" t="str">
        <x:v>サイズ比較</x:v>
      </x:c>
      <x:c r="P88" s="79" t="n">
        <x:v>6</x:v>
      </x:c>
      <x:c r="Q88" s="77" t="str">
        <x:v>★★★★★</x:v>
      </x:c>
      <x:c r="R88" s="77" t="str">
        <x:v>未公開</x:v>
      </x:c>
      <x:c r="S88" s="79" t="n">
        <x:v>65205</x:v>
      </x:c>
      <x:c r="T88" s="77" t="str">
        <x:v>未着手</x:v>
      </x:c>
      <x:c r="U88" s="81" t="n">
        <x:v>46255</x:v>
      </x:c>
      <x:c r="V88" s="66" t="str">
        <x:v>初期仮説。キーワード調査後に需要・競合点を更新。</x:v>
      </x:c>
      <x:c r="W88" s="66" t="str">
        <x:v>要確認（7条件）</x:v>
      </x:c>
      <x:c r="X88" s="79" t="n">
        <x:v>3</x:v>
      </x:c>
      <x:c r="Y88" s="77" t="str">
        <x:f>IF(X88=5,"★★★★★",IF(X88=4,"★★★★☆",IF(X88=3,"★★★☆☆","★★☆☆☆")))</x:f>
        <x:v>★★★☆☆</x:v>
      </x:c>
      <x:c r="Z88" s="238" t="n">
        <x:v>68.1</x:v>
      </x:c>
    </x:row>
    <x:row r="89" ht="30" hidden="0" customHeight="1">
      <x:c r="A89" s="75" t="str">
        <x:v>DELICA D:5</x:v>
      </x:c>
      <x:c r="B89" s="77" t="str">
        <x:v>★★★★☆</x:v>
      </x:c>
      <x:c r="C89" s="66" t="str">
        <x:v>歴代</x:v>
      </x:c>
      <x:c r="D89" s="66" t="str">
        <x:v>デリカD:5 歴代</x:v>
      </x:c>
      <x:c r="E89" s="66" t="str">
        <x:v>https://carvista.jp/cars/delica-d5.html</x:v>
      </x:c>
      <x:c r="F89" s="77" t="str">
        <x:v>改善</x:v>
      </x:c>
      <x:c r="G89" s="79" t="n">
        <x:v>28</x:v>
      </x:c>
      <x:c r="H89" s="79" t="n">
        <x:v>18</x:v>
      </x:c>
      <x:c r="I89" s="79" t="n">
        <x:v>30</x:v>
      </x:c>
      <x:c r="J89" s="79" t="n">
        <x:v>0</x:v>
      </x:c>
      <x:c r="K89" s="79" t="n">
        <x:v>0</x:v>
      </x:c>
      <x:c r="L89" s="126"/>
      <x:c r="M89" s="77" t="str">
        <x:v>A</x:v>
      </x:c>
      <x:c r="N89" s="66" t="str">
        <x:v>既存あり・比較画像を転用可</x:v>
      </x:c>
      <x:c r="O89" s="77" t="str">
        <x:v>歴代モデル</x:v>
      </x:c>
      <x:c r="P89" s="79" t="n">
        <x:v>6</x:v>
      </x:c>
      <x:c r="Q89" s="77" t="str">
        <x:v>★★★★★</x:v>
      </x:c>
      <x:c r="R89" s="77" t="str">
        <x:v>公開済み</x:v>
      </x:c>
      <x:c r="S89" s="79" t="n">
        <x:v>75600</x:v>
      </x:c>
      <x:c r="T89" s="77" t="str">
        <x:v>公開済み・深掘り候補</x:v>
      </x:c>
      <x:c r="U89" s="81" t="n">
        <x:v>46255</x:v>
      </x:c>
      <x:c r="V89" s="66" t="str">
        <x:v>初期仮説。キーワード調査後に需要・競合点を更新。</x:v>
      </x:c>
      <x:c r="W89" s="66" t="str">
        <x:v>公開済み</x:v>
      </x:c>
      <x:c r="X89" s="79" t="n">
        <x:v>3</x:v>
      </x:c>
      <x:c r="Y89" s="77" t="str">
        <x:f>IF(X89=5,"★★★★★",IF(X89=4,"★★★★☆",IF(X89=3,"★★★☆☆","★★☆☆☆")))</x:f>
        <x:v>★★★☆☆</x:v>
      </x:c>
      <x:c r="Z89" s="238" t="n">
        <x:v>72.5</x:v>
      </x:c>
    </x:row>
    <x:row r="90" ht="30" hidden="0" customHeight="1">
      <x:c r="A90" s="75" t="str">
        <x:v>DELICA D:5</x:v>
      </x:c>
      <x:c r="B90" s="77" t="str">
        <x:v>★★★★☆</x:v>
      </x:c>
      <x:c r="C90" s="66" t="str">
        <x:v>前期・後期</x:v>
      </x:c>
      <x:c r="D90" s="66" t="str">
        <x:v>デリカD:5 前期 後期 見分け方</x:v>
      </x:c>
      <x:c r="E90" s="66" t="str">
        <x:v>https://carvista.jp/cars/delica-d5.html</x:v>
      </x:c>
      <x:c r="F90" s="77" t="str">
        <x:v>新規</x:v>
      </x:c>
      <x:c r="G90" s="79" t="n">
        <x:v>24</x:v>
      </x:c>
      <x:c r="H90" s="79" t="n">
        <x:v>21</x:v>
      </x:c>
      <x:c r="I90" s="79" t="n">
        <x:v>28</x:v>
      </x:c>
      <x:c r="J90" s="79" t="n">
        <x:v>0</x:v>
      </x:c>
      <x:c r="K90" s="79" t="n">
        <x:v>0</x:v>
      </x:c>
      <x:c r="L90" s="126"/>
      <x:c r="M90" s="77" t="str">
        <x:v>A</x:v>
      </x:c>
      <x:c r="N90" s="66" t="str">
        <x:v>既存あり・比較画像を転用可</x:v>
      </x:c>
      <x:c r="O90" s="77" t="str">
        <x:v>前期後期</x:v>
      </x:c>
      <x:c r="P90" s="79" t="n">
        <x:v>6</x:v>
      </x:c>
      <x:c r="Q90" s="77" t="str">
        <x:v>★★★★★</x:v>
      </x:c>
      <x:c r="R90" s="77" t="str">
        <x:v>未公開</x:v>
      </x:c>
      <x:c r="S90" s="79" t="n">
        <x:v>70560</x:v>
      </x:c>
      <x:c r="T90" s="77" t="str">
        <x:v>未着手</x:v>
      </x:c>
      <x:c r="U90" s="81" t="n">
        <x:v>46255</x:v>
      </x:c>
      <x:c r="V90" s="66" t="str">
        <x:v>初期仮説。キーワード調査後に需要・競合点を更新。</x:v>
      </x:c>
      <x:c r="W90" s="66" t="str">
        <x:v>要確認（7条件）</x:v>
      </x:c>
      <x:c r="X90" s="79" t="n">
        <x:v>3</x:v>
      </x:c>
      <x:c r="Y90" s="77" t="str">
        <x:f>IF(X90=5,"★★★★★",IF(X90=4,"★★★★☆",IF(X90=3,"★★★☆☆","★★☆☆☆")))</x:f>
        <x:v>★★★☆☆</x:v>
      </x:c>
      <x:c r="Z90" s="238" t="n">
        <x:v>69.7</x:v>
      </x:c>
    </x:row>
    <x:row r="91" ht="30" hidden="0" customHeight="1">
      <x:c r="A91" s="75" t="str">
        <x:v>DELICA D:5</x:v>
      </x:c>
      <x:c r="B91" s="77" t="str">
        <x:v>★★★★☆</x:v>
      </x:c>
      <x:c r="C91" s="66" t="str">
        <x:v>見分け方</x:v>
      </x:c>
      <x:c r="D91" s="66" t="str">
        <x:v>デリカD:5 見分け方</x:v>
      </x:c>
      <x:c r="E91" s="66" t="str">
        <x:v>https://carvista.jp/cars/delica-d5.html</x:v>
      </x:c>
      <x:c r="F91" s="77" t="str">
        <x:v>新規</x:v>
      </x:c>
      <x:c r="G91" s="79" t="n">
        <x:v>24</x:v>
      </x:c>
      <x:c r="H91" s="79" t="n">
        <x:v>21</x:v>
      </x:c>
      <x:c r="I91" s="79" t="n">
        <x:v>30</x:v>
      </x:c>
      <x:c r="J91" s="79" t="n">
        <x:v>0</x:v>
      </x:c>
      <x:c r="K91" s="79" t="n">
        <x:v>0</x:v>
      </x:c>
      <x:c r="L91" s="126"/>
      <x:c r="M91" s="77" t="str">
        <x:v>A</x:v>
      </x:c>
      <x:c r="N91" s="66" t="str">
        <x:v>既存あり・比較画像を転用可</x:v>
      </x:c>
      <x:c r="O91" s="77" t="str">
        <x:v>見分け方</x:v>
      </x:c>
      <x:c r="P91" s="79" t="n">
        <x:v>6</x:v>
      </x:c>
      <x:c r="Q91" s="77" t="str">
        <x:v>★★★★★</x:v>
      </x:c>
      <x:c r="R91" s="77" t="str">
        <x:v>未公開</x:v>
      </x:c>
      <x:c r="S91" s="79" t="n">
        <x:v>75600</x:v>
      </x:c>
      <x:c r="T91" s="77" t="str">
        <x:v>未着手</x:v>
      </x:c>
      <x:c r="U91" s="81" t="n">
        <x:v>46255</x:v>
      </x:c>
      <x:c r="V91" s="66" t="str">
        <x:v>初期仮説。キーワード調査後に需要・競合点を更新。</x:v>
      </x:c>
      <x:c r="W91" s="66" t="str">
        <x:v>要確認（7条件）</x:v>
      </x:c>
      <x:c r="X91" s="79" t="n">
        <x:v>3</x:v>
      </x:c>
      <x:c r="Y91" s="77" t="str">
        <x:f>IF(X91=5,"★★★★★",IF(X91=4,"★★★★☆",IF(X91=3,"★★★☆☆","★★☆☆☆")))</x:f>
        <x:v>★★★☆☆</x:v>
      </x:c>
      <x:c r="Z91" s="238" t="n">
        <x:v>71</x:v>
      </x:c>
    </x:row>
    <x:row r="92" ht="30" hidden="0" customHeight="1">
      <x:c r="A92" s="75" t="str">
        <x:v>DELICA D:5</x:v>
      </x:c>
      <x:c r="B92" s="77" t="str">
        <x:v>★★★★☆</x:v>
      </x:c>
      <x:c r="C92" s="66" t="str">
        <x:v>型式</x:v>
      </x:c>
      <x:c r="D92" s="66" t="str">
        <x:v>デリカD:5 型式 一覧</x:v>
      </x:c>
      <x:c r="E92" s="66" t="str">
        <x:v>https://carvista.jp/cars/delica-d5.html</x:v>
      </x:c>
      <x:c r="F92" s="77" t="str">
        <x:v>新規</x:v>
      </x:c>
      <x:c r="G92" s="79" t="n">
        <x:v>20</x:v>
      </x:c>
      <x:c r="H92" s="79" t="n">
        <x:v>23</x:v>
      </x:c>
      <x:c r="I92" s="79" t="n">
        <x:v>25</x:v>
      </x:c>
      <x:c r="J92" s="79" t="n">
        <x:v>0</x:v>
      </x:c>
      <x:c r="K92" s="79" t="n">
        <x:v>0</x:v>
      </x:c>
      <x:c r="L92" s="126"/>
      <x:c r="M92" s="77" t="str">
        <x:v>B</x:v>
      </x:c>
      <x:c r="N92" s="66" t="str">
        <x:v>既存あり・一部転用可</x:v>
      </x:c>
      <x:c r="O92" s="77" t="str">
        <x:v>型式</x:v>
      </x:c>
      <x:c r="P92" s="79" t="n">
        <x:v>3</x:v>
      </x:c>
      <x:c r="Q92" s="77" t="str">
        <x:v>★★★☆☆</x:v>
      </x:c>
      <x:c r="R92" s="77" t="str">
        <x:v>未公開</x:v>
      </x:c>
      <x:c r="S92" s="79" t="n">
        <x:v>34500</x:v>
      </x:c>
      <x:c r="T92" s="77" t="str">
        <x:v>未着手</x:v>
      </x:c>
      <x:c r="U92" s="81" t="n">
        <x:v>46255</x:v>
      </x:c>
      <x:c r="V92" s="66" t="str">
        <x:v>初期仮説。キーワード調査後に需要・競合点を更新。</x:v>
      </x:c>
      <x:c r="W92" s="66" t="str">
        <x:v>要確認（7条件）</x:v>
      </x:c>
      <x:c r="X92" s="79" t="n">
        <x:v>3</x:v>
      </x:c>
      <x:c r="Y92" s="77" t="str">
        <x:f>IF(X92=5,"★★★★★",IF(X92=4,"★★★★☆",IF(X92=3,"★★★☆☆","★★☆☆☆")))</x:f>
        <x:v>★★★☆☆</x:v>
      </x:c>
      <x:c r="Z92" s="238" t="n">
        <x:v>61.5</x:v>
      </x:c>
    </x:row>
    <x:row r="93" ht="30" hidden="0" customHeight="1">
      <x:c r="A93" s="75" t="str">
        <x:v>DELICA D:5</x:v>
      </x:c>
      <x:c r="B93" s="77" t="str">
        <x:v>★★★★☆</x:v>
      </x:c>
      <x:c r="C93" s="66" t="str">
        <x:v>サイズ比較</x:v>
      </x:c>
      <x:c r="D93" s="66" t="str">
        <x:v>デリカD:5 サイズ 比較</x:v>
      </x:c>
      <x:c r="E93" s="66" t="str">
        <x:v>https://carvista.jp/cars/delica-d5.html</x:v>
      </x:c>
      <x:c r="F93" s="77" t="str">
        <x:v>新規</x:v>
      </x:c>
      <x:c r="G93" s="79" t="n">
        <x:v>18</x:v>
      </x:c>
      <x:c r="H93" s="79" t="n">
        <x:v>24</x:v>
      </x:c>
      <x:c r="I93" s="79" t="n">
        <x:v>25</x:v>
      </x:c>
      <x:c r="J93" s="79" t="n">
        <x:v>0</x:v>
      </x:c>
      <x:c r="K93" s="79" t="n">
        <x:v>0</x:v>
      </x:c>
      <x:c r="L93" s="126"/>
      <x:c r="M93" s="77" t="str">
        <x:v>A</x:v>
      </x:c>
      <x:c r="N93" s="66" t="str">
        <x:v>既存あり・比較画像を転用可</x:v>
      </x:c>
      <x:c r="O93" s="77" t="str">
        <x:v>サイズ比較</x:v>
      </x:c>
      <x:c r="P93" s="79" t="n">
        <x:v>6</x:v>
      </x:c>
      <x:c r="Q93" s="77" t="str">
        <x:v>★★★★★</x:v>
      </x:c>
      <x:c r="R93" s="77" t="str">
        <x:v>未公開</x:v>
      </x:c>
      <x:c r="S93" s="79" t="n">
        <x:v>54000</x:v>
      </x:c>
      <x:c r="T93" s="77" t="str">
        <x:v>未着手</x:v>
      </x:c>
      <x:c r="U93" s="81" t="n">
        <x:v>46255</x:v>
      </x:c>
      <x:c r="V93" s="66" t="str">
        <x:v>初期仮説。キーワード調査後に需要・競合点を更新。</x:v>
      </x:c>
      <x:c r="W93" s="66" t="str">
        <x:v>要確認（7条件）</x:v>
      </x:c>
      <x:c r="X93" s="79" t="n">
        <x:v>3</x:v>
      </x:c>
      <x:c r="Y93" s="77" t="str">
        <x:f>IF(X93=5,"★★★★★",IF(X93=4,"★★★★☆",IF(X93=3,"★★★☆☆","★★☆☆☆")))</x:f>
        <x:v>★★★☆☆</x:v>
      </x:c>
      <x:c r="Z93" s="238" t="n">
        <x:v>64.4</x:v>
      </x:c>
    </x:row>
    <x:row r="94" ht="30" hidden="0" customHeight="1">
      <x:c r="A94" s="75" t="str">
        <x:v>YARIS CROSS</x:v>
      </x:c>
      <x:c r="B94" s="77" t="str">
        <x:v>★★★★☆</x:v>
      </x:c>
      <x:c r="C94" s="66" t="str">
        <x:v>歴代</x:v>
      </x:c>
      <x:c r="D94" s="66" t="str">
        <x:v>ヤリスクロス 歴代</x:v>
      </x:c>
      <x:c r="E94" s="66"/>
      <x:c r="F94" s="77" t="str">
        <x:v>新規</x:v>
      </x:c>
      <x:c r="G94" s="79" t="n">
        <x:v>30</x:v>
      </x:c>
      <x:c r="H94" s="79" t="n">
        <x:v>17</x:v>
      </x:c>
      <x:c r="I94" s="79" t="n">
        <x:v>27</x:v>
      </x:c>
      <x:c r="J94" s="79" t="n">
        <x:v>0</x:v>
      </x:c>
      <x:c r="K94" s="79" t="n">
        <x:v>0</x:v>
      </x:c>
      <x:c r="L94" s="126"/>
      <x:c r="M94" s="77" t="str">
        <x:v>A</x:v>
      </x:c>
      <x:c r="N94" s="66" t="str">
        <x:v>要制作</x:v>
      </x:c>
      <x:c r="O94" s="77" t="str">
        <x:v>歴代モデル</x:v>
      </x:c>
      <x:c r="P94" s="79" t="n">
        <x:v>6</x:v>
      </x:c>
      <x:c r="Q94" s="77" t="str">
        <x:v>★★★★★</x:v>
      </x:c>
      <x:c r="R94" s="77" t="str">
        <x:v>未公開</x:v>
      </x:c>
      <x:c r="S94" s="79" t="n">
        <x:v>68850</x:v>
      </x:c>
      <x:c r="T94" s="77" t="str">
        <x:v>未着手</x:v>
      </x:c>
      <x:c r="U94" s="81" t="n">
        <x:v>46255</x:v>
      </x:c>
      <x:c r="V94" s="66" t="str">
        <x:v>初期仮説。キーワード調査後に需要・競合点を更新。</x:v>
      </x:c>
      <x:c r="W94" s="66" t="str">
        <x:v>要確認（7条件）</x:v>
      </x:c>
      <x:c r="X94" s="79" t="n">
        <x:v>3</x:v>
      </x:c>
      <x:c r="Y94" s="77" t="str">
        <x:f>IF(X94=5,"★★★★★",IF(X94=4,"★★★★☆",IF(X94=3,"★★★☆☆","★★☆☆☆")))</x:f>
        <x:v>★★★☆☆</x:v>
      </x:c>
      <x:c r="Z94" s="238" t="n">
        <x:v>71.6</x:v>
      </x:c>
    </x:row>
    <x:row r="95" ht="30" hidden="0" customHeight="1">
      <x:c r="A95" s="75" t="str">
        <x:v>YARIS CROSS</x:v>
      </x:c>
      <x:c r="B95" s="77" t="str">
        <x:v>★★★★☆</x:v>
      </x:c>
      <x:c r="C95" s="66" t="str">
        <x:v>見分け方</x:v>
      </x:c>
      <x:c r="D95" s="66" t="str">
        <x:v>ヤリスクロス 見分け方</x:v>
      </x:c>
      <x:c r="E95" s="66"/>
      <x:c r="F95" s="77" t="str">
        <x:v>新規</x:v>
      </x:c>
      <x:c r="G95" s="79" t="n">
        <x:v>24</x:v>
      </x:c>
      <x:c r="H95" s="79" t="n">
        <x:v>20</x:v>
      </x:c>
      <x:c r="I95" s="79" t="n">
        <x:v>27</x:v>
      </x:c>
      <x:c r="J95" s="79" t="n">
        <x:v>0</x:v>
      </x:c>
      <x:c r="K95" s="79" t="n">
        <x:v>0</x:v>
      </x:c>
      <x:c r="L95" s="126"/>
      <x:c r="M95" s="77" t="str">
        <x:v>A</x:v>
      </x:c>
      <x:c r="N95" s="66" t="str">
        <x:v>要制作</x:v>
      </x:c>
      <x:c r="O95" s="77" t="str">
        <x:v>見分け方</x:v>
      </x:c>
      <x:c r="P95" s="79" t="n">
        <x:v>6</x:v>
      </x:c>
      <x:c r="Q95" s="77" t="str">
        <x:v>★★★★★</x:v>
      </x:c>
      <x:c r="R95" s="77" t="str">
        <x:v>未公開</x:v>
      </x:c>
      <x:c r="S95" s="79" t="n">
        <x:v>64800</x:v>
      </x:c>
      <x:c r="T95" s="77" t="str">
        <x:v>未着手</x:v>
      </x:c>
      <x:c r="U95" s="81" t="n">
        <x:v>46255</x:v>
      </x:c>
      <x:c r="V95" s="66" t="str">
        <x:v>初期仮説。キーワード調査後に需要・競合点を更新。</x:v>
      </x:c>
      <x:c r="W95" s="66" t="str">
        <x:v>要確認（7条件）</x:v>
      </x:c>
      <x:c r="X95" s="79" t="n">
        <x:v>3</x:v>
      </x:c>
      <x:c r="Y95" s="77" t="str">
        <x:f>IF(X95=5,"★★★★★",IF(X95=4,"★★★★☆",IF(X95=3,"★★★☆☆","★★☆☆☆")))</x:f>
        <x:v>★★★☆☆</x:v>
      </x:c>
      <x:c r="Z95" s="238" t="n">
        <x:v>68.3</x:v>
      </x:c>
    </x:row>
    <x:row r="96" ht="30" hidden="0" customHeight="1">
      <x:c r="A96" s="75" t="str">
        <x:v>YARIS CROSS</x:v>
      </x:c>
      <x:c r="B96" s="77" t="str">
        <x:v>★★★★☆</x:v>
      </x:c>
      <x:c r="C96" s="66" t="str">
        <x:v>サイズ比較</x:v>
      </x:c>
      <x:c r="D96" s="66" t="str">
        <x:v>ヤリスクロス RAV4 サイズ 比較</x:v>
      </x:c>
      <x:c r="E96" s="66"/>
      <x:c r="F96" s="77" t="str">
        <x:v>新規</x:v>
      </x:c>
      <x:c r="G96" s="79" t="n">
        <x:v>22</x:v>
      </x:c>
      <x:c r="H96" s="79" t="n">
        <x:v>21</x:v>
      </x:c>
      <x:c r="I96" s="79" t="n">
        <x:v>25</x:v>
      </x:c>
      <x:c r="J96" s="79" t="n">
        <x:v>0</x:v>
      </x:c>
      <x:c r="K96" s="79" t="n">
        <x:v>0</x:v>
      </x:c>
      <x:c r="L96" s="126"/>
      <x:c r="M96" s="77" t="str">
        <x:v>A</x:v>
      </x:c>
      <x:c r="N96" s="66" t="str">
        <x:v>要制作</x:v>
      </x:c>
      <x:c r="O96" s="77" t="str">
        <x:v>サイズ比較</x:v>
      </x:c>
      <x:c r="P96" s="79" t="n">
        <x:v>6</x:v>
      </x:c>
      <x:c r="Q96" s="77" t="str">
        <x:v>★★★★★</x:v>
      </x:c>
      <x:c r="R96" s="77" t="str">
        <x:v>未公開</x:v>
      </x:c>
      <x:c r="S96" s="79" t="n">
        <x:v>57750</x:v>
      </x:c>
      <x:c r="T96" s="77" t="str">
        <x:v>未着手</x:v>
      </x:c>
      <x:c r="U96" s="81" t="n">
        <x:v>46255</x:v>
      </x:c>
      <x:c r="V96" s="66" t="str">
        <x:v>初期仮説。キーワード調査後に需要・競合点を更新。</x:v>
      </x:c>
      <x:c r="W96" s="66" t="str">
        <x:v>要確認（7条件）</x:v>
      </x:c>
      <x:c r="X96" s="79" t="n">
        <x:v>3</x:v>
      </x:c>
      <x:c r="Y96" s="77" t="str">
        <x:f>IF(X96=5,"★★★★★",IF(X96=4,"★★★★☆",IF(X96=3,"★★★☆☆","★★☆☆☆")))</x:f>
        <x:v>★★★☆☆</x:v>
      </x:c>
      <x:c r="Z96" s="238" t="n">
        <x:v>65.9</x:v>
      </x:c>
    </x:row>
    <x:row r="97" ht="30" hidden="0" customHeight="1">
      <x:c r="A97" s="75" t="str">
        <x:v>RAV4</x:v>
      </x:c>
      <x:c r="B97" s="77" t="str">
        <x:v>★★★★☆</x:v>
      </x:c>
      <x:c r="C97" s="66" t="str">
        <x:v>歴代</x:v>
      </x:c>
      <x:c r="D97" s="66" t="str">
        <x:v>RAV4 歴代</x:v>
      </x:c>
      <x:c r="E97" s="66"/>
      <x:c r="F97" s="77" t="str">
        <x:v>新規</x:v>
      </x:c>
      <x:c r="G97" s="79" t="n">
        <x:v>30</x:v>
      </x:c>
      <x:c r="H97" s="79" t="n">
        <x:v>16</x:v>
      </x:c>
      <x:c r="I97" s="79" t="n">
        <x:v>27</x:v>
      </x:c>
      <x:c r="J97" s="79" t="n">
        <x:v>0</x:v>
      </x:c>
      <x:c r="K97" s="79" t="n">
        <x:v>0</x:v>
      </x:c>
      <x:c r="L97" s="126"/>
      <x:c r="M97" s="77" t="str">
        <x:v>A</x:v>
      </x:c>
      <x:c r="N97" s="66" t="str">
        <x:v>要制作</x:v>
      </x:c>
      <x:c r="O97" s="77" t="str">
        <x:v>歴代モデル</x:v>
      </x:c>
      <x:c r="P97" s="79" t="n">
        <x:v>6</x:v>
      </x:c>
      <x:c r="Q97" s="77" t="str">
        <x:v>★★★★★</x:v>
      </x:c>
      <x:c r="R97" s="77" t="str">
        <x:v>未公開</x:v>
      </x:c>
      <x:c r="S97" s="79" t="n">
        <x:v>64800</x:v>
      </x:c>
      <x:c r="T97" s="77" t="str">
        <x:v>未着手</x:v>
      </x:c>
      <x:c r="U97" s="81" t="n">
        <x:v>46255</x:v>
      </x:c>
      <x:c r="V97" s="66" t="str">
        <x:v>初期仮説。キーワード調査後に需要・競合点を更新。</x:v>
      </x:c>
      <x:c r="W97" s="66" t="str">
        <x:v>要確認（7条件）</x:v>
      </x:c>
      <x:c r="X97" s="79" t="n">
        <x:v>3</x:v>
      </x:c>
      <x:c r="Y97" s="77" t="str">
        <x:f>IF(X97=5,"★★★★★",IF(X97=4,"★★★★☆",IF(X97=3,"★★★☆☆","★★☆☆☆")))</x:f>
        <x:v>★★★☆☆</x:v>
      </x:c>
      <x:c r="Z97" s="238" t="n">
        <x:v>70.9</x:v>
      </x:c>
    </x:row>
    <x:row r="98" ht="30" hidden="0" customHeight="1">
      <x:c r="A98" s="75" t="str">
        <x:v>RAV4</x:v>
      </x:c>
      <x:c r="B98" s="77" t="str">
        <x:v>★★★★☆</x:v>
      </x:c>
      <x:c r="C98" s="66" t="str">
        <x:v>見分け方</x:v>
      </x:c>
      <x:c r="D98" s="66" t="str">
        <x:v>RAV4 歴代 見分け方</x:v>
      </x:c>
      <x:c r="E98" s="66"/>
      <x:c r="F98" s="77" t="str">
        <x:v>新規</x:v>
      </x:c>
      <x:c r="G98" s="79" t="n">
        <x:v>23</x:v>
      </x:c>
      <x:c r="H98" s="79" t="n">
        <x:v>21</x:v>
      </x:c>
      <x:c r="I98" s="79" t="n">
        <x:v>27</x:v>
      </x:c>
      <x:c r="J98" s="79" t="n">
        <x:v>0</x:v>
      </x:c>
      <x:c r="K98" s="79" t="n">
        <x:v>0</x:v>
      </x:c>
      <x:c r="L98" s="126"/>
      <x:c r="M98" s="77" t="str">
        <x:v>A</x:v>
      </x:c>
      <x:c r="N98" s="66" t="str">
        <x:v>要制作</x:v>
      </x:c>
      <x:c r="O98" s="77" t="str">
        <x:v>見分け方</x:v>
      </x:c>
      <x:c r="P98" s="79" t="n">
        <x:v>6</x:v>
      </x:c>
      <x:c r="Q98" s="77" t="str">
        <x:v>★★★★★</x:v>
      </x:c>
      <x:c r="R98" s="77" t="str">
        <x:v>未公開</x:v>
      </x:c>
      <x:c r="S98" s="79" t="n">
        <x:v>65205</x:v>
      </x:c>
      <x:c r="T98" s="77" t="str">
        <x:v>未着手</x:v>
      </x:c>
      <x:c r="U98" s="81" t="n">
        <x:v>46255</x:v>
      </x:c>
      <x:c r="V98" s="66" t="str">
        <x:v>初期仮説。キーワード調査後に需要・競合点を更新。</x:v>
      </x:c>
      <x:c r="W98" s="66" t="str">
        <x:v>要確認（7条件）</x:v>
      </x:c>
      <x:c r="X98" s="79" t="n">
        <x:v>3</x:v>
      </x:c>
      <x:c r="Y98" s="77" t="str">
        <x:f>IF(X98=5,"★★★★★",IF(X98=4,"★★★★☆",IF(X98=3,"★★★☆☆","★★☆☆☆")))</x:f>
        <x:v>★★★☆☆</x:v>
      </x:c>
      <x:c r="Z98" s="238" t="n">
        <x:v>68.1</x:v>
      </x:c>
    </x:row>
    <x:row r="99" ht="30" hidden="0" customHeight="1">
      <x:c r="A99" s="75" t="str">
        <x:v>LAND CRUISER</x:v>
      </x:c>
      <x:c r="B99" s="77" t="str">
        <x:v>★★★★☆</x:v>
      </x:c>
      <x:c r="C99" s="66" t="str">
        <x:v>歴代</x:v>
      </x:c>
      <x:c r="D99" s="66" t="str">
        <x:v>ランドクルーザー 歴代</x:v>
      </x:c>
      <x:c r="E99" s="66"/>
      <x:c r="F99" s="77" t="str">
        <x:v>新規</x:v>
      </x:c>
      <x:c r="G99" s="79" t="n">
        <x:v>36</x:v>
      </x:c>
      <x:c r="H99" s="79" t="n">
        <x:v>12</x:v>
      </x:c>
      <x:c r="I99" s="79" t="n">
        <x:v>27</x:v>
      </x:c>
      <x:c r="J99" s="79" t="n">
        <x:v>0</x:v>
      </x:c>
      <x:c r="K99" s="79" t="n">
        <x:v>0</x:v>
      </x:c>
      <x:c r="L99" s="126"/>
      <x:c r="M99" s="77" t="str">
        <x:v>A</x:v>
      </x:c>
      <x:c r="N99" s="66" t="str">
        <x:v>要制作</x:v>
      </x:c>
      <x:c r="O99" s="77" t="str">
        <x:v>歴代モデル</x:v>
      </x:c>
      <x:c r="P99" s="79" t="n">
        <x:v>6</x:v>
      </x:c>
      <x:c r="Q99" s="77" t="str">
        <x:v>★★★★★</x:v>
      </x:c>
      <x:c r="R99" s="77" t="str">
        <x:v>未公開</x:v>
      </x:c>
      <x:c r="S99" s="79" t="n">
        <x:v>58320</x:v>
      </x:c>
      <x:c r="T99" s="77" t="str">
        <x:v>未着手</x:v>
      </x:c>
      <x:c r="U99" s="81" t="n">
        <x:v>46255</x:v>
      </x:c>
      <x:c r="V99" s="66" t="str">
        <x:v>初期仮説。キーワード調査後に需要・競合点を更新。</x:v>
      </x:c>
      <x:c r="W99" s="66" t="str">
        <x:v>要確認（7条件）</x:v>
      </x:c>
      <x:c r="X99" s="79" t="n">
        <x:v>4</x:v>
      </x:c>
      <x:c r="Y99" s="77" t="str">
        <x:f>IF(X99=5,"★★★★★",IF(X99=4,"★★★★☆",IF(X99=3,"★★★☆☆","★★☆☆☆")))</x:f>
        <x:v>★★★★☆</x:v>
      </x:c>
      <x:c r="Z99" s="238" t="n">
        <x:v>75.5</x:v>
      </x:c>
    </x:row>
    <x:row r="100" ht="30" hidden="0" customHeight="1">
      <x:c r="A100" s="75" t="str">
        <x:v>LAND CRUISER</x:v>
      </x:c>
      <x:c r="B100" s="77" t="str">
        <x:v>★★★★☆</x:v>
      </x:c>
      <x:c r="C100" s="66" t="str">
        <x:v>300系・250系</x:v>
      </x:c>
      <x:c r="D100" s="66" t="str">
        <x:v>ランドクルーザー 300 250 違い</x:v>
      </x:c>
      <x:c r="E100" s="66"/>
      <x:c r="F100" s="77" t="str">
        <x:v>新規</x:v>
      </x:c>
      <x:c r="G100" s="79" t="n">
        <x:v>30</x:v>
      </x:c>
      <x:c r="H100" s="79" t="n">
        <x:v>16</x:v>
      </x:c>
      <x:c r="I100" s="79" t="n">
        <x:v>27</x:v>
      </x:c>
      <x:c r="J100" s="79" t="n">
        <x:v>0</x:v>
      </x:c>
      <x:c r="K100" s="79" t="n">
        <x:v>0</x:v>
      </x:c>
      <x:c r="L100" s="126"/>
      <x:c r="M100" s="77" t="str">
        <x:v>A</x:v>
      </x:c>
      <x:c r="N100" s="66" t="str">
        <x:v>要制作</x:v>
      </x:c>
      <x:c r="O100" s="77" t="str">
        <x:v>世代比較</x:v>
      </x:c>
      <x:c r="P100" s="79" t="n">
        <x:v>6</x:v>
      </x:c>
      <x:c r="Q100" s="77" t="str">
        <x:v>★★★★★</x:v>
      </x:c>
      <x:c r="R100" s="77" t="str">
        <x:v>未公開</x:v>
      </x:c>
      <x:c r="S100" s="79" t="n">
        <x:v>64800</x:v>
      </x:c>
      <x:c r="T100" s="77" t="str">
        <x:v>未着手</x:v>
      </x:c>
      <x:c r="U100" s="81" t="n">
        <x:v>46255</x:v>
      </x:c>
      <x:c r="V100" s="66" t="str">
        <x:v>初期仮説。キーワード調査後に需要・競合点を更新。</x:v>
      </x:c>
      <x:c r="W100" s="66" t="str">
        <x:v>要確認（7条件）</x:v>
      </x:c>
      <x:c r="X100" s="79" t="n">
        <x:v>4</x:v>
      </x:c>
      <x:c r="Y100" s="77" t="str">
        <x:f>IF(X100=5,"★★★★★",IF(X100=4,"★★★★☆",IF(X100=3,"★★★☆☆","★★☆☆☆")))</x:f>
        <x:v>★★★★☆</x:v>
      </x:c>
      <x:c r="Z100" s="238" t="n">
        <x:v>72.9</x:v>
      </x:c>
    </x:row>
    <x:row r="101" ht="30" hidden="0" customHeight="1">
      <x:c r="A101" s="75" t="str">
        <x:v>VELLFIRE</x:v>
      </x:c>
      <x:c r="B101" s="77" t="str">
        <x:v>★★★☆☆</x:v>
      </x:c>
      <x:c r="C101" s="66" t="str">
        <x:v>歴代</x:v>
      </x:c>
      <x:c r="D101" s="66" t="str">
        <x:v>ヴェルファイア 歴代</x:v>
      </x:c>
      <x:c r="E101" s="66" t="str">
        <x:v>https://carvista.jp/cars/vellfire.html</x:v>
      </x:c>
      <x:c r="F101" s="77" t="str">
        <x:v>改善</x:v>
      </x:c>
      <x:c r="G101" s="79" t="n">
        <x:v>30</x:v>
      </x:c>
      <x:c r="H101" s="79" t="n">
        <x:v>18</x:v>
      </x:c>
      <x:c r="I101" s="79" t="n">
        <x:v>30</x:v>
      </x:c>
      <x:c r="J101" s="79" t="n">
        <x:v>1</x:v>
      </x:c>
      <x:c r="K101" s="79" t="n">
        <x:v>0</x:v>
      </x:c>
      <x:c r="L101" s="126"/>
      <x:c r="M101" s="77" t="str">
        <x:v>A</x:v>
      </x:c>
      <x:c r="N101" s="66" t="str">
        <x:v>既存あり・比較画像を転用可</x:v>
      </x:c>
      <x:c r="O101" s="77" t="str">
        <x:v>歴代モデル</x:v>
      </x:c>
      <x:c r="P101" s="79" t="n">
        <x:v>6</x:v>
      </x:c>
      <x:c r="Q101" s="77" t="str">
        <x:v>★★★★★</x:v>
      </x:c>
      <x:c r="R101" s="77" t="str">
        <x:v>公開済み（監査後更新）</x:v>
      </x:c>
      <x:c r="S101" s="79" t="n">
        <x:v>81000</x:v>
      </x:c>
      <x:c r="T101" s="77" t="str">
        <x:v>夜間自走 v2 完了</x:v>
      </x:c>
      <x:c r="U101" s="81" t="n">
        <x:v>46256</x:v>
      </x:c>
      <x:c r="V101" s="66" t="str">
        <x:v>B判定。GSCで「ヴェルファイア 歴代」表示を確認。20・30・40系の型式・販売期間・外観判別を本体に統合し、兄弟車比較へ誘導。公式トヨタ発表確認。公開日: 2026-08-15。</x:v>
      </x:c>
      <x:c r="W101" s="66" t="str">
        <x:v>合格｜SEO94・編集95・車情報96・UX92・一般93・平均94.0｜Critical 0</x:v>
      </x:c>
      <x:c r="X101" s="79" t="n">
        <x:v>4</x:v>
      </x:c>
      <x:c r="Y101" s="77" t="str">
        <x:f>IF(X101=5,"★★★★★",IF(X101=4,"★★★★☆",IF(X101=3,"★★★☆☆","★★☆☆☆")))</x:f>
        <x:v>★★★★☆</x:v>
      </x:c>
      <x:c r="Z101" s="238" t="n">
        <x:v>0</x:v>
      </x:c>
    </x:row>
    <x:row r="102" ht="30" hidden="0" customHeight="1">
      <x:c r="A102" s="75" t="str">
        <x:v>VELLFIRE</x:v>
      </x:c>
      <x:c r="B102" s="77" t="str">
        <x:v>★★★☆☆</x:v>
      </x:c>
      <x:c r="C102" s="66" t="str">
        <x:v>見分け方</x:v>
      </x:c>
      <x:c r="D102" s="66" t="str">
        <x:v>ヴェルファイア 歴代 見分け方</x:v>
      </x:c>
      <x:c r="E102" s="66" t="str">
        <x:v>https://carvista.jp/cars/vellfire.html</x:v>
      </x:c>
      <x:c r="F102" s="77" t="str">
        <x:v>新規</x:v>
      </x:c>
      <x:c r="G102" s="79" t="n">
        <x:v>23</x:v>
      </x:c>
      <x:c r="H102" s="79" t="n">
        <x:v>21</x:v>
      </x:c>
      <x:c r="I102" s="79" t="n">
        <x:v>30</x:v>
      </x:c>
      <x:c r="J102" s="79" t="n">
        <x:v>0</x:v>
      </x:c>
      <x:c r="K102" s="79" t="n">
        <x:v>0</x:v>
      </x:c>
      <x:c r="L102" s="126"/>
      <x:c r="M102" s="77" t="str">
        <x:v>A</x:v>
      </x:c>
      <x:c r="N102" s="66" t="str">
        <x:v>既存あり・比較画像を転用可</x:v>
      </x:c>
      <x:c r="O102" s="77" t="str">
        <x:v>見分け方</x:v>
      </x:c>
      <x:c r="P102" s="79" t="n">
        <x:v>6</x:v>
      </x:c>
      <x:c r="Q102" s="77" t="str">
        <x:v>★★★★★</x:v>
      </x:c>
      <x:c r="R102" s="77" t="str">
        <x:v>未公開</x:v>
      </x:c>
      <x:c r="S102" s="79" t="n">
        <x:v>72450</x:v>
      </x:c>
      <x:c r="T102" s="77" t="str">
        <x:v>未着手</x:v>
      </x:c>
      <x:c r="U102" s="81" t="n">
        <x:v>46255</x:v>
      </x:c>
      <x:c r="V102" s="66" t="str">
        <x:v>初期仮説。キーワード調査後に需要・競合点を更新。</x:v>
      </x:c>
      <x:c r="W102" s="66" t="str">
        <x:v>要確認（7条件）</x:v>
      </x:c>
      <x:c r="X102" s="79" t="n">
        <x:v>4</x:v>
      </x:c>
      <x:c r="Y102" s="77" t="str">
        <x:f>IF(X102=5,"★★★★★",IF(X102=4,"★★★★☆",IF(X102=3,"★★★☆☆","★★☆☆☆")))</x:f>
        <x:v>★★★★☆</x:v>
      </x:c>
      <x:c r="Z102" s="238" t="n">
        <x:v>72.1</x:v>
      </x:c>
    </x:row>
    <x:row r="103" ht="30" hidden="0" customHeight="1">
      <x:c r="A103" s="75" t="str">
        <x:v>VELLFIRE</x:v>
      </x:c>
      <x:c r="B103" s="77" t="str">
        <x:v>★★★☆☆</x:v>
      </x:c>
      <x:c r="C103" s="66" t="str">
        <x:v>型式</x:v>
      </x:c>
      <x:c r="D103" s="66" t="str">
        <x:v>ヴェルファイア 型式 一覧</x:v>
      </x:c>
      <x:c r="E103" s="66" t="str">
        <x:v>https://carvista.jp/cars/vellfire.html</x:v>
      </x:c>
      <x:c r="F103" s="77" t="str">
        <x:v>新規</x:v>
      </x:c>
      <x:c r="G103" s="79" t="n">
        <x:v>19</x:v>
      </x:c>
      <x:c r="H103" s="79" t="n">
        <x:v>23</x:v>
      </x:c>
      <x:c r="I103" s="79" t="n">
        <x:v>25</x:v>
      </x:c>
      <x:c r="J103" s="79" t="n">
        <x:v>0</x:v>
      </x:c>
      <x:c r="K103" s="79" t="n">
        <x:v>0</x:v>
      </x:c>
      <x:c r="L103" s="126"/>
      <x:c r="M103" s="77" t="str">
        <x:v>B</x:v>
      </x:c>
      <x:c r="N103" s="66" t="str">
        <x:v>既存あり・一部転用可</x:v>
      </x:c>
      <x:c r="O103" s="77" t="str">
        <x:v>型式</x:v>
      </x:c>
      <x:c r="P103" s="79" t="n">
        <x:v>3</x:v>
      </x:c>
      <x:c r="Q103" s="77" t="str">
        <x:v>★★★☆☆</x:v>
      </x:c>
      <x:c r="R103" s="77" t="str">
        <x:v>未公開</x:v>
      </x:c>
      <x:c r="S103" s="79" t="n">
        <x:v>32775</x:v>
      </x:c>
      <x:c r="T103" s="77" t="str">
        <x:v>未着手</x:v>
      </x:c>
      <x:c r="U103" s="81" t="n">
        <x:v>46255</x:v>
      </x:c>
      <x:c r="V103" s="66" t="str">
        <x:v>初期仮説。キーワード調査後に需要・競合点を更新。</x:v>
      </x:c>
      <x:c r="W103" s="66" t="str">
        <x:v>要確認（7条件）</x:v>
      </x:c>
      <x:c r="X103" s="79" t="n">
        <x:v>4</x:v>
      </x:c>
      <x:c r="Y103" s="77" t="str">
        <x:f>IF(X103=5,"★★★★★",IF(X103=4,"★★★★☆",IF(X103=3,"★★★☆☆","★★☆☆☆")))</x:f>
        <x:v>★★★★☆</x:v>
      </x:c>
      <x:c r="Z103" s="238" t="n">
        <x:v>62.6</x:v>
      </x:c>
    </x:row>
    <x:row r="104" ht="30" hidden="0" customHeight="1">
      <x:c r="A104" s="75" t="str">
        <x:v>NOAH</x:v>
      </x:c>
      <x:c r="B104" s="77" t="str">
        <x:v>★★★☆☆</x:v>
      </x:c>
      <x:c r="C104" s="66" t="str">
        <x:v>歴代</x:v>
      </x:c>
      <x:c r="D104" s="66" t="str">
        <x:v>ノア 歴代</x:v>
      </x:c>
      <x:c r="E104" s="66" t="str">
        <x:v>https://carvista.jp/cars/noah.html</x:v>
      </x:c>
      <x:c r="F104" s="77" t="str">
        <x:v>改善</x:v>
      </x:c>
      <x:c r="G104" s="79" t="n">
        <x:v>30</x:v>
      </x:c>
      <x:c r="H104" s="79" t="n">
        <x:v>18</x:v>
      </x:c>
      <x:c r="I104" s="79" t="n">
        <x:v>30</x:v>
      </x:c>
      <x:c r="J104" s="79" t="n">
        <x:v>1</x:v>
      </x:c>
      <x:c r="K104" s="79" t="n">
        <x:v>0</x:v>
      </x:c>
      <x:c r="L104" s="126"/>
      <x:c r="M104" s="77" t="str">
        <x:v>A</x:v>
      </x:c>
      <x:c r="N104" s="66" t="str">
        <x:v>既存あり・比較画像を転用可</x:v>
      </x:c>
      <x:c r="O104" s="77" t="str">
        <x:v>歴代モデル</x:v>
      </x:c>
      <x:c r="P104" s="79" t="n">
        <x:v>6</x:v>
      </x:c>
      <x:c r="Q104" s="77" t="str">
        <x:v>★★★★★</x:v>
      </x:c>
      <x:c r="R104" s="77" t="str">
        <x:v>公開済み</x:v>
      </x:c>
      <x:c r="S104" s="79" t="n">
        <x:v>81000</x:v>
      </x:c>
      <x:c r="T104" s="77" t="str">
        <x:v>公開済み・GSC観測</x:v>
      </x:c>
      <x:c r="U104" s="81" t="n">
        <x:v>46255</x:v>
      </x:c>
      <x:c r="V104" s="66" t="str">
        <x:v>GSC表示あり。順位を確認し、近接意図を優先検討。</x:v>
      </x:c>
      <x:c r="W104" s="66" t="str">
        <x:v>公開済み</x:v>
      </x:c>
      <x:c r="X104" s="79" t="n">
        <x:v>4</x:v>
      </x:c>
      <x:c r="Y104" s="77" t="str">
        <x:f>IF(X104=5,"★★★★★",IF(X104=4,"★★★★☆",IF(X104=3,"★★★☆☆","★★☆☆☆")))</x:f>
        <x:v>★★★★☆</x:v>
      </x:c>
      <x:c r="Z104" s="238" t="n">
        <x:v>77.3</x:v>
      </x:c>
    </x:row>
    <x:row r="105" ht="30" hidden="0" customHeight="1">
      <x:c r="A105" s="75" t="str">
        <x:v>NOAH</x:v>
      </x:c>
      <x:c r="B105" s="77" t="str">
        <x:v>★★★☆☆</x:v>
      </x:c>
      <x:c r="C105" s="66" t="str">
        <x:v>見分け方</x:v>
      </x:c>
      <x:c r="D105" s="66" t="str">
        <x:v>ノア 歴代 見分け方</x:v>
      </x:c>
      <x:c r="E105" s="66" t="str">
        <x:v>https://carvista.jp/cars/noah.html</x:v>
      </x:c>
      <x:c r="F105" s="77" t="str">
        <x:v>新規</x:v>
      </x:c>
      <x:c r="G105" s="79" t="n">
        <x:v>23</x:v>
      </x:c>
      <x:c r="H105" s="79" t="n">
        <x:v>21</x:v>
      </x:c>
      <x:c r="I105" s="79" t="n">
        <x:v>30</x:v>
      </x:c>
      <x:c r="J105" s="79" t="n">
        <x:v>0</x:v>
      </x:c>
      <x:c r="K105" s="79" t="n">
        <x:v>0</x:v>
      </x:c>
      <x:c r="L105" s="126"/>
      <x:c r="M105" s="77" t="str">
        <x:v>A</x:v>
      </x:c>
      <x:c r="N105" s="66" t="str">
        <x:v>既存あり・比較画像を転用可</x:v>
      </x:c>
      <x:c r="O105" s="77" t="str">
        <x:v>見分け方</x:v>
      </x:c>
      <x:c r="P105" s="79" t="n">
        <x:v>6</x:v>
      </x:c>
      <x:c r="Q105" s="77" t="str">
        <x:v>★★★★★</x:v>
      </x:c>
      <x:c r="R105" s="77" t="str">
        <x:v>未公開</x:v>
      </x:c>
      <x:c r="S105" s="79" t="n">
        <x:v>72450</x:v>
      </x:c>
      <x:c r="T105" s="77" t="str">
        <x:v>未着手</x:v>
      </x:c>
      <x:c r="U105" s="81" t="n">
        <x:v>46255</x:v>
      </x:c>
      <x:c r="V105" s="66" t="str">
        <x:v>初期仮説。キーワード調査後に需要・競合点を更新。</x:v>
      </x:c>
      <x:c r="W105" s="66" t="str">
        <x:v>要確認（7条件）</x:v>
      </x:c>
      <x:c r="X105" s="79" t="n">
        <x:v>4</x:v>
      </x:c>
      <x:c r="Y105" s="77" t="str">
        <x:f>IF(X105=5,"★★★★★",IF(X105=4,"★★★★☆",IF(X105=3,"★★★☆☆","★★☆☆☆")))</x:f>
        <x:v>★★★★☆</x:v>
      </x:c>
      <x:c r="Z105" s="238" t="n">
        <x:v>72.1</x:v>
      </x:c>
    </x:row>
    <x:row r="106" ht="30" hidden="0" customHeight="1">
      <x:c r="A106" s="75" t="str">
        <x:v>NOAH</x:v>
      </x:c>
      <x:c r="B106" s="77" t="str">
        <x:v>★★★☆☆</x:v>
      </x:c>
      <x:c r="C106" s="66" t="str">
        <x:v>型式</x:v>
      </x:c>
      <x:c r="D106" s="66" t="str">
        <x:v>ノア 型式 一覧</x:v>
      </x:c>
      <x:c r="E106" s="66" t="str">
        <x:v>https://carvista.jp/cars/noah.html</x:v>
      </x:c>
      <x:c r="F106" s="77" t="str">
        <x:v>新規</x:v>
      </x:c>
      <x:c r="G106" s="79" t="n">
        <x:v>20</x:v>
      </x:c>
      <x:c r="H106" s="79" t="n">
        <x:v>22</x:v>
      </x:c>
      <x:c r="I106" s="79" t="n">
        <x:v>25</x:v>
      </x:c>
      <x:c r="J106" s="79" t="n">
        <x:v>0</x:v>
      </x:c>
      <x:c r="K106" s="79" t="n">
        <x:v>0</x:v>
      </x:c>
      <x:c r="L106" s="126"/>
      <x:c r="M106" s="77" t="str">
        <x:v>B</x:v>
      </x:c>
      <x:c r="N106" s="66" t="str">
        <x:v>既存あり・一部転用可</x:v>
      </x:c>
      <x:c r="O106" s="77" t="str">
        <x:v>型式</x:v>
      </x:c>
      <x:c r="P106" s="79" t="n">
        <x:v>3</x:v>
      </x:c>
      <x:c r="Q106" s="77" t="str">
        <x:v>★★★☆☆</x:v>
      </x:c>
      <x:c r="R106" s="77" t="str">
        <x:v>未公開</x:v>
      </x:c>
      <x:c r="S106" s="79" t="n">
        <x:v>33000</x:v>
      </x:c>
      <x:c r="T106" s="77" t="str">
        <x:v>未着手</x:v>
      </x:c>
      <x:c r="U106" s="81" t="n">
        <x:v>46255</x:v>
      </x:c>
      <x:c r="V106" s="66" t="str">
        <x:v>初期仮説。キーワード調査後に需要・競合点を更新。</x:v>
      </x:c>
      <x:c r="W106" s="66" t="str">
        <x:v>要確認（7条件）</x:v>
      </x:c>
      <x:c r="X106" s="79" t="n">
        <x:v>4</x:v>
      </x:c>
      <x:c r="Y106" s="77" t="str">
        <x:f>IF(X106=5,"★★★★★",IF(X106=4,"★★★★☆",IF(X106=3,"★★★☆☆","★★☆☆☆")))</x:f>
        <x:v>★★★★☆</x:v>
      </x:c>
      <x:c r="Z106" s="238" t="n">
        <x:v>62.8</x:v>
      </x:c>
    </x:row>
    <x:row r="107" ht="30" customHeight="1">
      <x:c r="A107" s="76" t="str">
        <x:v>ALPHARD</x:v>
      </x:c>
      <x:c r="B107" s="78" t="str">
        <x:v>★★★★★</x:v>
      </x:c>
      <x:c r="C107" s="71" t="str">
        <x:v>前期・後期</x:v>
      </x:c>
      <x:c r="D107" s="71" t="str">
        <x:v>アルファード 30系 前期後期 違い</x:v>
      </x:c>
      <x:c r="E107" s="71" t="str">
        <x:v>https://carvista.jp/alphard-30-zenki-kouki.html</x:v>
      </x:c>
      <x:c r="F107" s="78" t="str">
        <x:v>新規</x:v>
      </x:c>
      <x:c r="G107" s="80" t="n">
        <x:v>35</x:v>
      </x:c>
      <x:c r="H107" s="80" t="n">
        <x:v>18</x:v>
      </x:c>
      <x:c r="I107" s="80" t="n">
        <x:v>30</x:v>
      </x:c>
      <x:c r="J107" s="80" t="n">
        <x:v>0</x:v>
      </x:c>
      <x:c r="K107" s="80" t="n">
        <x:v>0</x:v>
      </x:c>
      <x:c r="L107" s="127"/>
      <x:c r="M107" s="78" t="str">
        <x:v>A</x:v>
      </x:c>
      <x:c r="N107" s="71" t="str">
        <x:v>本体にも要約</x:v>
      </x:c>
      <x:c r="O107" s="78" t="str">
        <x:v>前期後期</x:v>
      </x:c>
      <x:c r="P107" s="80" t="n">
        <x:v>6</x:v>
      </x:c>
      <x:c r="Q107" s="78" t="str">
        <x:v>★★★★★</x:v>
      </x:c>
      <x:c r="R107" s="78" t="str">
        <x:v>公開済み</x:v>
      </x:c>
      <x:c r="S107" s="80" t="n">
        <x:v>94500</x:v>
      </x:c>
      <x:c r="T107" s="78" t="str">
        <x:v>公開済み（本体要約＋詳細）</x:v>
      </x:c>
      <x:c r="U107" s="82" t="n">
        <x:v>46255</x:v>
      </x:c>
      <x:c r="V107" s="71" t="str">
        <x:v>C判定。歴代の基本理解は車種本体、30系の前期・後期の詳細判別は独立URLで扱う。</x:v>
      </x:c>
      <x:c r="W107" s="71" t="str">
        <x:v>本体要約・詳細ページ・内部リンク確認済み</x:v>
      </x:c>
      <x:c r="X107" s="80" t="n">
        <x:v>5</x:v>
      </x:c>
      <x:c r="Y107" s="78" t="str">
        <x:f>IF(X107=5,"★★★★★",IF(X107=4,"★★★★☆",IF(X107=3,"★★★☆☆","★★☆☆☆")))</x:f>
        <x:v>★★★★★</x:v>
      </x:c>
      <x:c r="Z107" s="239" t="n">
        <x:v>0</x:v>
      </x:c>
    </x:row>
  </x:sheetData>
  <x:mergeCells>
    <x:mergeCell ref="A1:O1"/>
    <x:mergeCell ref="A2:O2"/>
    <x:mergeCell ref="A1:T1"/>
    <x:mergeCell ref="A2:T2"/>
    <x:mergeCell ref="A4:T4"/>
    <x:mergeCell ref="A1:W1"/>
    <x:mergeCell ref="A2:W2"/>
    <x:mergeCell ref="A4:W4"/>
    <x:mergeCell ref="A1:Z1"/>
    <x:mergeCell ref="A2:Z2"/>
    <x:mergeCell ref="A4:Z4"/>
  </x:mergeCells>
  <x:conditionalFormatting sqref="L7:L106">
    <x:cfRule type="colorScale" priority="1">
      <x:colorScale>
        <x:cfvo type="min"/>
        <x:cfvo type="percentile" val="50"/>
        <x:cfvo type="max"/>
        <x:color rgb="FFFDECEC"/>
        <x:color rgb="FFFFF3CD"/>
        <x:color rgb="FFD9F2E4"/>
      </x:colorScale>
    </x:cfRule>
  </x:conditionalFormatting>
  <x:conditionalFormatting sqref="M7:M106">
    <x:cfRule type="containsText" dxfId="0" priority="2" operator="containsText" text="GSC観測"/>
    <x:cfRule type="containsText" dxfId="1" priority="3" operator="containsText" text="未着手"/>
    <x:cfRule type="containsText" dxfId="2" priority="4" operator="containsText" text="深掘り候補"/>
  </x:conditionalFormatting>
  <x:conditionalFormatting sqref="Q7:Q107">
    <x:cfRule type="colorScale" priority="5">
      <x:colorScale>
        <x:cfvo type="min"/>
        <x:cfvo type="percentile" val="50"/>
        <x:cfvo type="max"/>
        <x:color rgb="FFFDECEC"/>
        <x:color rgb="FFFFF3CD"/>
        <x:color rgb="FFD9F2E4"/>
      </x:colorScale>
    </x:cfRule>
    <x:cfRule type="containsText" dxfId="6" priority="10" operator="containsText" text="★★★★★"/>
    <x:cfRule type="containsText" dxfId="7" priority="11" operator="containsText" text="★★★★☆"/>
  </x:conditionalFormatting>
  <x:conditionalFormatting sqref="M7:M107">
    <x:cfRule type="containsText" dxfId="3" priority="6" operator="containsText" text="A"/>
    <x:cfRule type="containsText" dxfId="4" priority="7" operator="containsText" text="B"/>
    <x:cfRule type="containsText" dxfId="5" priority="8" operator="containsText" text="C"/>
  </x:conditionalFormatting>
  <x:conditionalFormatting sqref="S7:S107">
    <x:cfRule type="colorScale" priority="9">
      <x:colorScale>
        <x:cfvo type="min"/>
        <x:cfvo type="percentile" val="50"/>
        <x:cfvo type="max"/>
        <x:color rgb="FFFDECEC"/>
        <x:color rgb="FFFFF3CD"/>
        <x:color rgb="FFD9F2E4"/>
      </x:colorScale>
    </x:cfRule>
  </x:conditionalFormatting>
  <x:conditionalFormatting sqref="W7:W107">
    <x:cfRule type="containsText" dxfId="8" priority="12" operator="containsText" text="要確認"/>
    <x:cfRule type="containsText" dxfId="11" priority="16" operator="containsText" text="要確認"/>
  </x:conditionalFormatting>
  <x:conditionalFormatting sqref="Z7:Z107">
    <x:cfRule type="colorScale" priority="13">
      <x:colorScale>
        <x:cfvo type="min"/>
        <x:cfvo type="percentile" val="50"/>
        <x:cfvo type="max"/>
        <x:color rgb="FFFDECEC"/>
        <x:color rgb="FFFFF3CD"/>
        <x:color rgb="FFD9F2E4"/>
      </x:colorScale>
    </x:cfRule>
  </x:conditionalFormatting>
  <x:conditionalFormatting sqref="Y7:Y107">
    <x:cfRule type="containsText" dxfId="9" priority="14" operator="containsText" text="★★★★★"/>
    <x:cfRule type="containsText" dxfId="10" priority="15" operator="containsText" text="★★★★☆"/>
  </x:conditionalFormatting>
  <x:pageMargins left="0.7" right="0.7" top="0.75" bottom="0.75" header="0.3" footer="0.3"/>
  <x:tableParts count="1">
    <x:tablePart xmlns:r="http://schemas.openxmlformats.org/officeDocument/2006/relationships" r:id="Rd698e17f15d8400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42" hidden="0" customWidth="1"/>
    <x:col min="4" max="4" width="42" hidden="0" customWidth="1"/>
    <x:col min="5" max="5" width="18" hidden="0" customWidth="1"/>
  </x:cols>
  <x:sheetData>
    <x:row r="1" ht="19.200000762939453" hidden="0" customHeight="1">
      <x:c r="A1" s="48" t="str">
        <x:v>スコアリング基準と運用ルール</x:v>
      </x:c>
      <x:c r="B1" s="48"/>
      <x:c r="C1" s="48"/>
      <x:c r="D1" s="48"/>
      <x:c r="E1" s="48"/>
    </x:row>
    <x:row r="2"/>
    <x:row r="3" ht="15" hidden="0" customHeight="1">
      <x:c r="A3" s="83" t="str">
        <x:v>項目</x:v>
      </x:c>
      <x:c r="B3" s="84" t="str">
        <x:v>配点</x:v>
      </x:c>
      <x:c r="C3" s="84" t="str">
        <x:v>高得点の条件</x:v>
      </x:c>
      <x:c r="D3" s="84" t="str">
        <x:v>入力者の判断基準</x:v>
      </x:c>
      <x:c r="E3" s="85" t="str">
        <x:v>更新頻度</x:v>
      </x:c>
    </x:row>
    <x:row r="4" ht="15" hidden="0" customHeight="1">
      <x:c r="A4" s="17" t="str">
        <x:v>検索需要</x:v>
      </x:c>
      <x:c r="B4" s="92" t="n">
        <x:v>40</x:v>
      </x:c>
      <x:c r="C4" s="11" t="str">
        <x:v>検索数が多く、季節性に依存しにくい</x:v>
      </x:c>
      <x:c r="D4" s="11" t="str">
        <x:v>キーワード調査の相対評価。既存GSC表示も参考にする。</x:v>
      </x:c>
      <x:c r="E4" s="12" t="str">
        <x:v>月1</x:v>
      </x:c>
    </x:row>
    <x:row r="5" ht="15" hidden="0" customHeight="1">
      <x:c r="A5" s="17" t="str">
        <x:v>競合の弱さ</x:v>
      </x:c>
      <x:c r="B5" s="92" t="n">
        <x:v>30</x:v>
      </x:c>
      <x:c r="C5" s="11" t="str">
        <x:v>公式・大型メディアが検索意図を十分に満たしていない</x:v>
      </x:c>
      <x:c r="D5" s="11" t="str">
        <x:v>上位結果が薄い、画像比較がない、意図が混在している。</x:v>
      </x:c>
      <x:c r="E5" s="12" t="str">
        <x:v>月1</x:v>
      </x:c>
    </x:row>
    <x:row r="6" ht="15" hidden="0" customHeight="1">
      <x:c r="A6" s="17" t="str">
        <x:v>CarVista適性</x:v>
      </x:c>
      <x:c r="B6" s="92" t="n">
        <x:v>30</x:v>
      </x:c>
      <x:c r="C6" s="11" t="str">
        <x:v>同一視点の画像比較で答えの質が上がる</x:v>
      </x:c>
      <x:c r="D6" s="11" t="str">
        <x:v>見分け方、世代比較、兄弟車比較を優先。スペックだけの意図は低くする。</x:v>
      </x:c>
      <x:c r="E6" s="12" t="str">
        <x:v>初回＋必要時</x:v>
      </x:c>
    </x:row>
    <x:row r="7" ht="15" hidden="0" customHeight="1">
      <x:c r="A7" s="17" t="str">
        <x:v>GSC表示ボーナス</x:v>
      </x:c>
      <x:c r="B7" s="92" t="n">
        <x:v>5</x:v>
      </x:c>
      <x:c r="C7" s="11" t="str">
        <x:v>表示回数が1以上</x:v>
      </x:c>
      <x:c r="D7" s="11" t="str">
        <x:v>すでにGoogleが関連性を示している。</x:v>
      </x:c>
      <x:c r="E7" s="12" t="str">
        <x:v>週1</x:v>
      </x:c>
    </x:row>
    <x:row r="8" ht="15" hidden="0" customHeight="1">
      <x:c r="A8" s="18" t="str">
        <x:v>順位ボーナス</x:v>
      </x:c>
      <x:c r="B8" s="93" t="n">
        <x:v>5</x:v>
      </x:c>
      <x:c r="C8" s="14" t="str">
        <x:v>平均順位が30位以内</x:v>
      </x:c>
      <x:c r="D8" s="14" t="str">
        <x:v>改善・派生ページで早期に伸びる可能性がある。</x:v>
      </x:c>
      <x:c r="E8" s="15" t="str">
        <x:v>週1</x:v>
      </x:c>
    </x:row>
    <x:row r="9"/>
    <x:row r="10" ht="15" hidden="0" customHeight="1">
      <x:c r="A10" s="173" t="str">
        <x:v>優先順位とAsset ROIの判定</x:v>
      </x:c>
      <x:c r="B10" s="174"/>
      <x:c r="C10" s="174"/>
      <x:c r="D10" s="174"/>
      <x:c r="E10" s="175"/>
    </x:row>
    <x:row r="11" ht="34" hidden="0" customHeight="1">
      <x:c r="A11" s="178" t="str">
        <x:v>優先スコア</x:v>
      </x:c>
      <x:c r="B11" s="100" t="str">
        <x:v>推定需要 × 競合の弱さ × CarVista適性 × Asset ROI係数</x:v>
      </x:c>
      <x:c r="C11" s="100" t="str">
        <x:v>★★★★★=5、★★★★☆=4、★★★☆☆=3、★★☆☆☆=2</x:v>
      </x:c>
      <x:c r="D11" s="100" t="str"/>
      <x:c r="E11" s="101" t="str"/>
    </x:row>
    <x:row r="12" ht="34" hidden="0" customHeight="1">
      <x:c r="A12" s="178" t="str">
        <x:v>★★★★★</x:v>
      </x:c>
      <x:c r="B12" s="100" t="str">
        <x:v>6ページ以上</x:v>
      </x:c>
      <x:c r="C12" s="100" t="str">
        <x:v>統一画像・比較データ・Timelineを複数の世代/比較/判別ページへ転用できる</x:v>
      </x:c>
      <x:c r="D12" s="100" t="str"/>
      <x:c r="E12" s="101" t="str"/>
    </x:row>
    <x:row r="13" ht="34" hidden="0" customHeight="1">
      <x:c r="A13" s="178" t="str">
        <x:v>★★★★☆</x:v>
      </x:c>
      <x:c r="B13" s="100" t="str">
        <x:v>4〜5ページ</x:v>
      </x:c>
      <x:c r="C13" s="100" t="str">
        <x:v>同一車種の世代・前期後期・比較へ横展開できる</x:v>
      </x:c>
      <x:c r="D13" s="100" t="str"/>
      <x:c r="E13" s="101" t="str"/>
    </x:row>
    <x:row r="14" ht="34" hidden="0" customHeight="1">
      <x:c r="A14" s="179" t="str">
        <x:v>公開条件</x:v>
      </x:c>
      <x:c r="B14" s="103" t="str">
        <x:v>7項目全て確認</x:v>
      </x:c>
      <x:c r="C14" s="103" t="str">
        <x:v>未確認なら制作は進めても公開しない</x:v>
      </x:c>
      <x:c r="D14" s="103" t="str"/>
      <x:c r="E14" s="104" t="str"/>
    </x:row>
    <x:row r="16">
      <x:c r="A16" s="210" t="str">
        <x:v>Impactの判定</x:v>
      </x:c>
      <x:c r="B16" s="211"/>
      <x:c r="C16" s="211"/>
      <x:c r="D16" s="211"/>
      <x:c r="E16" s="212"/>
    </x:row>
    <x:row r="17">
      <x:c r="A17" s="215" t="str">
        <x:v>★★★★★</x:v>
      </x:c>
      <x:c r="B17" s="100" t="str">
        <x:v>係数5</x:v>
      </x:c>
      <x:c r="C17" s="100" t="str">
        <x:v>アルファード、ヴォクシー、セレナ、N-BOX、プリウスなどの代表車種</x:v>
      </x:c>
      <x:c r="D17" s="100" t="str"/>
      <x:c r="E17" s="101" t="str"/>
    </x:row>
    <x:row r="18">
      <x:c r="A18" s="215" t="str">
        <x:v>★★★★☆</x:v>
      </x:c>
      <x:c r="B18" s="100" t="str">
        <x:v>係数4</x:v>
      </x:c>
      <x:c r="C18" s="100" t="str">
        <x:v>主要人気車種</x:v>
      </x:c>
      <x:c r="D18" s="100" t="str"/>
      <x:c r="E18" s="101" t="str"/>
    </x:row>
    <x:row r="19">
      <x:c r="A19" s="215" t="str">
        <x:v>★★★☆☆</x:v>
      </x:c>
      <x:c r="B19" s="100" t="str">
        <x:v>係数3</x:v>
      </x:c>
      <x:c r="C19" s="100" t="str">
        <x:v>中堅車種</x:v>
      </x:c>
      <x:c r="D19" s="100" t="str"/>
      <x:c r="E19" s="101" t="str"/>
    </x:row>
    <x:row r="20">
      <x:c r="A20" s="216" t="str">
        <x:v>★★☆☆☆</x:v>
      </x:c>
      <x:c r="B20" s="103" t="str">
        <x:v>係数2</x:v>
      </x:c>
      <x:c r="C20" s="103" t="str">
        <x:v>ニッチ車種</x:v>
      </x:c>
      <x:c r="D20" s="103" t="str"/>
      <x:c r="E20" s="104" t="str"/>
    </x:row>
  </x:sheetData>
  <x:mergeCells>
    <x:mergeCell ref="A1:E1"/>
    <x:mergeCell ref="A10:E10"/>
    <x:mergeCell ref="A16:E1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19.200000762939453" hidden="0" customHeight="1">
      <x:c r="A1" s="48" t="str">
        <x:v>GSC原データ — 2026-08-12確認</x:v>
      </x:c>
      <x:c r="B1" s="48"/>
      <x:c r="C1" s="48"/>
      <x:c r="D1" s="48"/>
      <x:c r="E1" s="48"/>
      <x:c r="F1" s="48"/>
      <x:c r="G1" s="48"/>
    </x:row>
    <x:row r="2"/>
    <x:row r="3" ht="15" hidden="0" customHeight="1">
      <x:c r="A3" s="83" t="str">
        <x:v>期間</x:v>
      </x:c>
      <x:c r="B3" s="84" t="str">
        <x:v>合計クリック</x:v>
      </x:c>
      <x:c r="C3" s="84" t="str">
        <x:v>合計表示回数</x:v>
      </x:c>
      <x:c r="D3" s="84" t="str">
        <x:v>平均CTR</x:v>
      </x:c>
      <x:c r="E3" s="84" t="str">
        <x:v>平均掲載順位</x:v>
      </x:c>
      <x:c r="F3" s="84" t="str">
        <x:v>データ元</x:v>
      </x:c>
      <x:c r="G3" s="85" t="str">
        <x:v>備考</x:v>
      </x:c>
    </x:row>
    <x:row r="4" ht="15" hidden="0" customHeight="1">
      <x:c r="A4" s="13" t="str">
        <x:v>3か月（2026-07-30〜2026-08-12）</x:v>
      </x:c>
      <x:c r="B4" s="108" t="n">
        <x:v>0</x:v>
      </x:c>
      <x:c r="C4" s="108" t="n">
        <x:v>35</x:v>
      </x:c>
      <x:c r="D4" s="108" t="n">
        <x:v>0</x:v>
      </x:c>
      <x:c r="E4" s="108" t="n">
        <x:v>38.8</x:v>
      </x:c>
      <x:c r="F4" s="14" t="str">
        <x:v>Google Search Console</x:v>
      </x:c>
      <x:c r="G4" s="15" t="str">
        <x:v>初期データ。クエリ別順位は次回更新時に取得。</x:v>
      </x:c>
    </x:row>
    <x:row r="5"/>
    <x:row r="6" ht="15" hidden="0" customHeight="1">
      <x:c r="A6" s="105" t="str">
        <x:v>クエリ</x:v>
      </x:c>
      <x:c r="B6" s="106" t="str">
        <x:v>表示回数</x:v>
      </x:c>
      <x:c r="C6" s="106" t="str">
        <x:v>クリック</x:v>
      </x:c>
      <x:c r="D6" s="107" t="str">
        <x:v>備考</x:v>
      </x:c>
    </x:row>
    <x:row r="7" ht="15" hidden="0" customHeight="1">
      <x:c r="A7" s="10" t="str">
        <x:v>serena</x:v>
      </x:c>
      <x:c r="B7" s="11" t="n">
        <x:v>10</x:v>
      </x:c>
      <x:c r="C7" s="11" t="n">
        <x:v>0</x:v>
      </x:c>
      <x:c r="D7" s="12" t="str">
        <x:v>最初の深掘り候補</x:v>
      </x:c>
    </x:row>
    <x:row r="8" ht="15" hidden="0" customHeight="1">
      <x:c r="A8" s="10" t="str">
        <x:v>ソリオ 歴代</x:v>
      </x:c>
      <x:c r="B8" s="11" t="n">
        <x:v>1</x:v>
      </x:c>
      <x:c r="C8" s="11" t="n">
        <x:v>0</x:v>
      </x:c>
      <x:c r="D8" s="12" t="str">
        <x:v>既存車種</x:v>
      </x:c>
    </x:row>
    <x:row r="9" ht="15" hidden="0" customHeight="1">
      <x:c r="A9" s="10" t="str">
        <x:v>ヴェルファイア 歴代</x:v>
      </x:c>
      <x:c r="B9" s="11" t="n">
        <x:v>1</x:v>
      </x:c>
      <x:c r="C9" s="11" t="n">
        <x:v>0</x:v>
      </x:c>
      <x:c r="D9" s="12" t="str">
        <x:v>既存車種</x:v>
      </x:c>
    </x:row>
    <x:row r="10" ht="15" hidden="0" customHeight="1">
      <x:c r="A10" s="10" t="str">
        <x:v>n-box 歴代</x:v>
      </x:c>
      <x:c r="B10" s="11" t="n">
        <x:v>1</x:v>
      </x:c>
      <x:c r="C10" s="11" t="n">
        <x:v>0</x:v>
      </x:c>
      <x:c r="D10" s="12" t="str">
        <x:v>既存車種</x:v>
      </x:c>
    </x:row>
    <x:row r="11" ht="15" hidden="0" customHeight="1">
      <x:c r="A11" s="10" t="str">
        <x:v>nbox歴代</x:v>
      </x:c>
      <x:c r="B11" s="11" t="n">
        <x:v>1</x:v>
      </x:c>
      <x:c r="C11" s="11" t="n">
        <x:v>0</x:v>
      </x:c>
      <x:c r="D11" s="12" t="str">
        <x:v>既存車種</x:v>
      </x:c>
    </x:row>
    <x:row r="12" ht="15" hidden="0" customHeight="1">
      <x:c r="A12" s="10" t="str">
        <x:v>日産 セレナ 歴代</x:v>
      </x:c>
      <x:c r="B12" s="11" t="n">
        <x:v>1</x:v>
      </x:c>
      <x:c r="C12" s="11" t="n">
        <x:v>0</x:v>
      </x:c>
      <x:c r="D12" s="12" t="str">
        <x:v>既存車種</x:v>
      </x:c>
    </x:row>
    <x:row r="13" ht="15" hidden="0" customHeight="1">
      <x:c r="A13" s="10" t="str">
        <x:v>n box 歴代</x:v>
      </x:c>
      <x:c r="B13" s="11" t="n">
        <x:v>1</x:v>
      </x:c>
      <x:c r="C13" s="11" t="n">
        <x:v>0</x:v>
      </x:c>
      <x:c r="D13" s="12" t="str">
        <x:v>既存車種</x:v>
      </x:c>
    </x:row>
    <x:row r="14" ht="15" hidden="0" customHeight="1">
      <x:c r="A14" s="10" t="str">
        <x:v>歴代 ボクシー</x:v>
      </x:c>
      <x:c r="B14" s="11" t="n">
        <x:v>1</x:v>
      </x:c>
      <x:c r="C14" s="11" t="n">
        <x:v>0</x:v>
      </x:c>
      <x:c r="D14" s="12" t="str">
        <x:v>既存車種</x:v>
      </x:c>
    </x:row>
    <x:row r="15" ht="15" hidden="0" customHeight="1">
      <x:c r="A15" s="10" t="str">
        <x:v>歴代 ヴォクシー</x:v>
      </x:c>
      <x:c r="B15" s="11" t="n">
        <x:v>1</x:v>
      </x:c>
      <x:c r="C15" s="11" t="n">
        <x:v>0</x:v>
      </x:c>
      <x:c r="D15" s="12" t="str">
        <x:v>既存車種</x:v>
      </x:c>
    </x:row>
    <x:row r="16" ht="15" hidden="0" customHeight="1">
      <x:c r="A16" s="13" t="str">
        <x:v>トヨタ ノア 歴代</x:v>
      </x:c>
      <x:c r="B16" s="14" t="n">
        <x:v>1</x:v>
      </x:c>
      <x:c r="C16" s="14" t="n">
        <x:v>0</x:v>
      </x:c>
      <x:c r="D16" s="15" t="str">
        <x:v>既存車種</x:v>
      </x:c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0" hidden="0" customWidth="1"/>
  </x:cols>
  <x:sheetData>
    <x:row r="1">
      <x:c r="A1" s="218" t="str">
        <x:v>CarVista 恒久編集ルール — 車種本体を最高の歴代図鑑にする</x:v>
      </x:c>
    </x:row>
    <x:row r="3">
      <x:c r="A3" s="223" t="str">
        <x:v>判断項目</x:v>
      </x:c>
      <x:c r="B3" s="224" t="str">
        <x:v>恒久ルール</x:v>
      </x:c>
    </x:row>
    <x:row r="4" ht="50" customHeight="1">
      <x:c r="A4" s="227" t="str">
        <x:v>車種本体に置く情報</x:v>
      </x:c>
      <x:c r="B4" s="101" t="str">
        <x:v>歴代モデル、世代数、販売期間、基本型式、Timeline、世代ごとの外観進化、基本見分け方、Compare、代表改良は /cars/◯◯.html に集約する。</x:v>
      </x:c>
    </x:row>
    <x:row r="5" ht="50" customHeight="1">
      <x:c r="A5" s="227" t="str">
        <x:v>独立URLの条件</x:v>
      </x:c>
      <x:c r="B5" s="101" t="str">
        <x:v>特定世代の前期後期、特定型式の詳細、兄弟車・競合車比較、購入判断、詳細装備差など、本体より明確に深い独自意図だけを独立させる。</x:v>
      </x:c>
    </x:row>
    <x:row r="6" ht="50" customHeight="1">
      <x:c r="A6" s="227" t="str">
        <x:v>公開前ゲート</x:v>
      </x:c>
      <x:c r="B6" s="101" t="str">
        <x:v>検索意図・独自価値・独自画像または比較価値・Timeline/Compare活用・再利用性・内部リンク・公式確認の全条件を満たすこと。</x:v>
      </x:c>
    </x:row>
    <x:row r="7" ht="50" customHeight="1">
      <x:c r="A7" s="227" t="str">
        <x:v>カニバリ防止</x:v>
      </x:c>
      <x:c r="B7" s="101" t="str">
        <x:v>答え・画像・比較価値が同じならページを分けない。新規意図は必ず「独立URLが必要か」を先に判定する。</x:v>
      </x:c>
    </x:row>
    <x:row r="8" ht="50" customHeight="1">
      <x:c r="A8" s="228" t="str">
        <x:v>統合時の処理</x:v>
      </x:c>
      <x:c r="B8" s="104" t="str">
        <x:v>公開済みの基本ガイドは本体へ統合し、旧URLを恒久リダイレクト。404にせず、canonical・sitemap・内部リンクを本体へ揃える。</x:v>
      </x:c>
    </x:row>
    <x:row r="10">
      <x:c r="A10" s="233" t="str">
        <x:v>夜間自走 v2 の適用記録</x:v>
      </x:c>
    </x:row>
    <x:row r="11" ht="48" customHeight="1">
      <x:c r="A11" s="236" t="str">
        <x:v>今回の学習</x:v>
      </x:c>
      <x:c r="B11" s="237" t="str">
        <x:v>Priority上位の「歴代・世代単体」は新URLにせず、同一車種の本体を強化して5検索意図を獲得する。特定世代の前期・後期だけは、本体要約＋独立詳細のC判定を適用する。</x:v>
      </x:c>
    </x:row>
  </x:sheetData>
  <x:mergeCells>
    <x:mergeCell ref="A1:B1"/>
    <x:mergeCell ref="A10:B1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4" hidden="0" customWidth="1"/>
    <x:col min="4" max="4" width="25" hidden="0" customWidth="1"/>
    <x:col min="5" max="5" width="48" hidden="0" customWidth="1"/>
    <x:col min="6" max="6" width="14" hidden="0" customWidth="1"/>
    <x:col min="7" max="7" width="14" hidden="0" customWidth="1"/>
    <x:col min="8" max="8" width="18" hidden="0" customWidth="1"/>
  </x:cols>
  <x:sheetData>
    <x:row r="1">
      <x:c r="A1" s="241" t="str">
        <x:v>CarVista Priorityランキング監査 — 2026-08-15</x:v>
      </x:c>
    </x:row>
    <x:row r="2">
      <x:c r="A2" s="244" t="str">
        <x:v>結論：旧モデルはImpact（×5）とAsset ROI（×5）を乗算し、公開済み・同一車種の近接意図まで上位化していた。v3では両方を加点上限に変更し、完了済み意図を制作キューから除外する。</x:v>
      </x:c>
    </x:row>
    <x:row r="4">
      <x:c r="A4" s="250" t="str">
        <x:v>監査後順位</x:v>
      </x:c>
      <x:c r="B4" s="251" t="str">
        <x:v>検索意図</x:v>
      </x:c>
      <x:c r="C4" s="251" t="str">
        <x:v>A/B/C</x:v>
      </x:c>
      <x:c r="D4" s="251" t="str">
        <x:v>実データ</x:v>
      </x:c>
      <x:c r="E4" s="251" t="str">
        <x:v>判断</x:v>
      </x:c>
      <x:c r="F4" s="251" t="str">
        <x:v>Asset ROI</x:v>
      </x:c>
      <x:c r="G4" s="251" t="str">
        <x:v>Impact</x:v>
      </x:c>
      <x:c r="H4" s="252" t="str">
        <x:v>処理</x:v>
      </x:c>
    </x:row>
    <x:row r="5" ht="34" customHeight="1">
      <x:c r="A5" s="143" t="n">
        <x:v>1</x:v>
      </x:c>
      <x:c r="B5" s="100" t="str">
        <x:v>セレナ 歴代</x:v>
      </x:c>
      <x:c r="C5" s="100" t="str">
        <x:v>B</x:v>
      </x:c>
      <x:c r="D5" s="100" t="str">
        <x:v>GSC 10表示</x:v>
      </x:c>
      <x:c r="E5" s="100" t="str">
        <x:v>検索実績が最も強く、6世代の比較資産を持つ</x:v>
      </x:c>
      <x:c r="F5" s="100" t="str">
        <x:v>★★★★★</x:v>
      </x:c>
      <x:c r="G5" s="100" t="str">
        <x:v>★★★★★</x:v>
      </x:c>
      <x:c r="H5" s="101" t="str">
        <x:v>完了</x:v>
      </x:c>
    </x:row>
    <x:row r="6" ht="34" customHeight="1">
      <x:c r="A6" s="143" t="n">
        <x:v>2</x:v>
      </x:c>
      <x:c r="B6" s="100" t="str">
        <x:v>アルファード・ヴェルファイア 違い</x:v>
      </x:c>
      <x:c r="C6" s="100" t="str">
        <x:v>A</x:v>
      </x:c>
      <x:c r="D6" s="100" t="str">
        <x:v>GA4 12表示</x:v>
      </x:c>
      <x:c r="E6" s="100" t="str">
        <x:v>比較ページの利用実績があり、VELLFIRE側導線が不足</x:v>
      </x:c>
      <x:c r="F6" s="100" t="str">
        <x:v>★★★★★</x:v>
      </x:c>
      <x:c r="G6" s="100" t="str">
        <x:v>★★★★★</x:v>
      </x:c>
      <x:c r="H6" s="101" t="str">
        <x:v>完了</x:v>
      </x:c>
    </x:row>
    <x:row r="7" ht="34" customHeight="1">
      <x:c r="A7" s="143" t="n">
        <x:v>3</x:v>
      </x:c>
      <x:c r="B7" s="100" t="str">
        <x:v>ヴェルファイア 歴代</x:v>
      </x:c>
      <x:c r="C7" s="100" t="str">
        <x:v>B</x:v>
      </x:c>
      <x:c r="D7" s="100" t="str">
        <x:v>GSC 1表示</x:v>
      </x:c>
      <x:c r="E7" s="100" t="str">
        <x:v>本体に基本見分け方が未整備だった</x:v>
      </x:c>
      <x:c r="F7" s="100" t="str">
        <x:v>★★★★★</x:v>
      </x:c>
      <x:c r="G7" s="100" t="str">
        <x:v>★★★★★</x:v>
      </x:c>
      <x:c r="H7" s="101" t="str">
        <x:v>完了</x:v>
      </x:c>
    </x:row>
    <x:row r="8" ht="34" customHeight="1">
      <x:c r="A8" s="143" t="n">
        <x:v>4</x:v>
      </x:c>
      <x:c r="B8" s="100" t="str">
        <x:v>N-BOX 歴代</x:v>
      </x:c>
      <x:c r="C8" s="100" t="str">
        <x:v>B</x:v>
      </x:c>
      <x:c r="D8" s="100" t="str">
        <x:v>GSC 1表示</x:v>
      </x:c>
      <x:c r="E8" s="100" t="str">
        <x:v>既存比較資産をtitle/descriptionで検索意図へ接続</x:v>
      </x:c>
      <x:c r="F8" s="100" t="str">
        <x:v>★★★★★</x:v>
      </x:c>
      <x:c r="G8" s="100" t="str">
        <x:v>★★★★★</x:v>
      </x:c>
      <x:c r="H8" s="101" t="str">
        <x:v>完了</x:v>
      </x:c>
    </x:row>
    <x:row r="9" ht="34" customHeight="1">
      <x:c r="A9" s="143" t="n">
        <x:v>5</x:v>
      </x:c>
      <x:c r="B9" s="100" t="str">
        <x:v>VOXY 歴代</x:v>
      </x:c>
      <x:c r="C9" s="100" t="str">
        <x:v>B</x:v>
      </x:c>
      <x:c r="D9" s="100" t="str">
        <x:v>GSC 1表示</x:v>
      </x:c>
      <x:c r="E9" s="100" t="str">
        <x:v>70・80・90系の既存資産を明確な検索入口へ接続</x:v>
      </x:c>
      <x:c r="F9" s="100" t="str">
        <x:v>★★★★★</x:v>
      </x:c>
      <x:c r="G9" s="100" t="str">
        <x:v>★★★★★</x:v>
      </x:c>
      <x:c r="H9" s="101" t="str">
        <x:v>完了</x:v>
      </x:c>
    </x:row>
    <x:row r="10" ht="34" customHeight="1">
      <x:c r="A10" s="143" t="n">
        <x:v>6</x:v>
      </x:c>
      <x:c r="B10" s="100" t="str">
        <x:v>VOXY 80系 前期後期</x:v>
      </x:c>
      <x:c r="C10" s="100" t="str">
        <x:v>C候補</x:v>
      </x:c>
      <x:c r="D10" s="100" t="str">
        <x:v>GSCなし</x:v>
      </x:c>
      <x:c r="E10" s="100" t="str">
        <x:v>専用の前後期統一画像が未確認のためAsset待ち</x:v>
      </x:c>
      <x:c r="F10" s="100" t="str">
        <x:v>★★★★★</x:v>
      </x:c>
      <x:c r="G10" s="100" t="str">
        <x:v>★★★★★</x:v>
      </x:c>
      <x:c r="H10" s="101" t="str">
        <x:v>保留候補</x:v>
      </x:c>
    </x:row>
    <x:row r="11" ht="34" customHeight="1">
      <x:c r="A11" s="143" t="n">
        <x:v>7</x:v>
      </x:c>
      <x:c r="B11" s="100" t="str">
        <x:v>PRIUS 歴代 見分け方</x:v>
      </x:c>
      <x:c r="C11" s="100" t="str">
        <x:v>B候補</x:v>
      </x:c>
      <x:c r="D11" s="100" t="str">
        <x:v>GSCなし</x:v>
      </x:c>
      <x:c r="E11" s="100" t="str">
        <x:v>全世代の統一画像Assetが未作成</x:v>
      </x:c>
      <x:c r="F11" s="100" t="str">
        <x:v>★★★★★</x:v>
      </x:c>
      <x:c r="G11" s="100" t="str">
        <x:v>★★★★★</x:v>
      </x:c>
      <x:c r="H11" s="101" t="str">
        <x:v>Asset待ち</x:v>
      </x:c>
    </x:row>
    <x:row r="12" ht="34" customHeight="1">
      <x:c r="A12" s="143" t="n">
        <x:v>8</x:v>
      </x:c>
      <x:c r="B12" s="100" t="str">
        <x:v>SERENA C27</x:v>
      </x:c>
      <x:c r="C12" s="100" t="str">
        <x:v>B</x:v>
      </x:c>
      <x:c r="D12" s="100" t="str">
        <x:v>GSC「serena」10表示の近接意図</x:v>
      </x:c>
      <x:c r="E12" s="100" t="str">
        <x:v>今回の本体強化で基礎回答を獲得。次回はGSC順位で再判定</x:v>
      </x:c>
      <x:c r="F12" s="100" t="str">
        <x:v>★★★★★</x:v>
      </x:c>
      <x:c r="G12" s="100" t="str">
        <x:v>★★★★★</x:v>
      </x:c>
      <x:c r="H12" s="101" t="str">
        <x:v>観測</x:v>
      </x:c>
    </x:row>
    <x:row r="13" ht="34" customHeight="1">
      <x:c r="A13" s="143" t="n">
        <x:v>9</x:v>
      </x:c>
      <x:c r="B13" s="100" t="str">
        <x:v>SERENA C28</x:v>
      </x:c>
      <x:c r="C13" s="100" t="str">
        <x:v>B</x:v>
      </x:c>
      <x:c r="D13" s="100" t="str">
        <x:v>同上</x:v>
      </x:c>
      <x:c r="E13" s="100" t="str">
        <x:v>今回の本体強化で基礎回答を獲得。次回はGSC順位で再判定</x:v>
      </x:c>
      <x:c r="F13" s="100" t="str">
        <x:v>★★★★★</x:v>
      </x:c>
      <x:c r="G13" s="100" t="str">
        <x:v>★★★★★</x:v>
      </x:c>
      <x:c r="H13" s="101" t="str">
        <x:v>観測</x:v>
      </x:c>
    </x:row>
    <x:row r="14" ht="34" customHeight="1">
      <x:c r="A14" s="144" t="n">
        <x:v>10</x:v>
      </x:c>
      <x:c r="B14" s="103" t="str">
        <x:v>N-BOX 前期後期</x:v>
      </x:c>
      <x:c r="C14" s="103" t="str">
        <x:v>C候補</x:v>
      </x:c>
      <x:c r="D14" s="103" t="str">
        <x:v>GSCなし</x:v>
      </x:c>
      <x:c r="E14" s="103" t="str">
        <x:v>前後期用の統一画像Assetを確認してから判断</x:v>
      </x:c>
      <x:c r="F14" s="103" t="str">
        <x:v>★★★★★</x:v>
      </x:c>
      <x:c r="G14" s="103" t="str">
        <x:v>★★★★★</x:v>
      </x:c>
      <x:c r="H14" s="104" t="str">
        <x:v>Asset確認待ち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27" hidden="0" customWidth="1"/>
    <x:col min="4" max="4" width="20" hidden="0" customWidth="1"/>
    <x:col min="5" max="5" width="34" hidden="0" customWidth="1"/>
    <x:col min="6" max="6" width="20" hidden="0" customWidth="1"/>
    <x:col min="7" max="7" width="18" hidden="0" customWidth="1"/>
    <x:col min="8" max="8" width="40" hidden="0" customWidth="1"/>
    <x:col min="9" max="9" width="14" hidden="0" customWidth="1"/>
    <x:col min="10" max="10" width="14" hidden="0" customWidth="1"/>
    <x:col min="11" max="11" width="14" hidden="0" customWidth="1"/>
    <x:col min="12" max="12" width="64" hidden="0" customWidth="1"/>
    <x:col min="13" max="13" width="46" hidden="0" customWidth="1"/>
    <x:col min="14" max="14" width="38" hidden="0" customWidth="1"/>
  </x:cols>
  <x:sheetData>
    <x:row r="1">
      <x:c r="A1" s="254" t="str">
        <x:v>CarVista 画像Asset制作キュー — 人間側制作待ち</x:v>
      </x:c>
    </x:row>
    <x:row r="2">
      <x:c r="A2" s="257" t="str">
        <x:v>完成済み画像は一切変更しない。実装時に許可するのは、アスペクト比維持リサイズ／トリミング／配置調整／Canvas拡張／真っ黒背景追加／WebP変換のみ。車体加工・色変更・左右反転・AI補正・背景再生成・ライティング変更・反射追加・シャープ化は禁止。</x:v>
      </x:c>
    </x:row>
    <x:row r="4">
      <x:c r="A4" s="261" t="str">
        <x:v>Priority</x:v>
      </x:c>
      <x:c r="B4" s="262" t="str">
        <x:v>Asset Status</x:v>
      </x:c>
      <x:c r="C4" s="262" t="str">
        <x:v>車種／Asset</x:v>
      </x:c>
      <x:c r="D4" s="262" t="str">
        <x:v>必要画像</x:v>
      </x:c>
      <x:c r="E4" s="262" t="str">
        <x:v>対応検索意図</x:v>
      </x:c>
      <x:c r="F4" s="262" t="str">
        <x:v>需要・GSC</x:v>
      </x:c>
      <x:c r="G4" s="262" t="str">
        <x:v>CarVista適性</x:v>
      </x:c>
      <x:c r="H4" s="262" t="str">
        <x:v>再利用先／解放作業</x:v>
      </x:c>
      <x:c r="I4" s="262" t="str">
        <x:v>Asset ROI</x:v>
      </x:c>
      <x:c r="J4" s="262" t="str">
        <x:v>解放意図数</x:v>
      </x:c>
      <x:c r="K4" s="262" t="str">
        <x:v>難易度</x:v>
      </x:c>
      <x:c r="L4" s="262" t="str">
        <x:v>制作仕様（基準・実車特徴）</x:v>
      </x:c>
      <x:c r="M4" s="262" t="str">
        <x:v>CodexがAsset完成後に実装すること</x:v>
      </x:c>
      <x:c r="N4" s="263" t="str">
        <x:v>公式確認</x:v>
      </x:c>
    </x:row>
    <x:row r="5" ht="76" customHeight="1">
      <x:c r="A5" s="143" t="n">
        <x:v>1</x:v>
      </x:c>
      <x:c r="B5" s="100" t="str">
        <x:v>ASSET_REQUIRED</x:v>
      </x:c>
      <x:c r="C5" s="100" t="str">
        <x:v>VOXY 80系 前期／後期</x:v>
      </x:c>
      <x:c r="D5" s="100" t="str">
        <x:v>2枚（前期1・後期1）</x:v>
      </x:c>
      <x:c r="E5" s="100" t="str">
        <x:v>VOXY 80系 前期後期／VOXY見分け方／中古車判別</x:v>
      </x:c>
      <x:c r="F5" s="100" t="str">
        <x:v>需要29・GSC 1（VOXY歴代近接）</x:v>
      </x:c>
      <x:c r="G5" s="100" t="str">
        <x:v>非常に高い</x:v>
      </x:c>
      <x:c r="H5" s="100" t="str">
        <x:v>VOXY本体、80系詳細、Compare、Timeline、NOAH/ESQUIRE比較、中古車判別</x:v>
      </x:c>
      <x:c r="I5" s="100" t="str">
        <x:v>★★★★★</x:v>
      </x:c>
      <x:c r="J5" s="100" t="str">
        <x:v>6</x:v>
      </x:c>
      <x:c r="K5" s="100" t="str">
        <x:v>中</x:v>
      </x:c>
      <x:c r="L5" s="100" t="str">
        <x:v>2014〜2017前期／2017〜2021後期。ZS、ブラック、ZRR80W（2WD）を基準。左前45°・目線高・中望遠・車体全体・黒スタジオ背景・同一床面。後期は3眼LEDヘッドランプと大きく変わるバンパー／グリルを正確に再現。既存基準: /images/cars/voxy/gen3-2014.webp</x:v>
      </x:c>
      <x:c r="M5" s="100" t="str">
        <x:v>本体の前後期概要、独立詳細、Compare、Timeline分岐、型式・年式表、内部リンク、SEOメタ</x:v>
      </x:c>
      <x:c r="N5" s="101" t="str">
        <x:v>トヨタ公式の80系発売・2017年改良資料を制作前に照合</x:v>
      </x:c>
    </x:row>
    <x:row r="6" ht="76" customHeight="1">
      <x:c r="A6" s="143" t="n">
        <x:v>2</x:v>
      </x:c>
      <x:c r="B6" s="100" t="str">
        <x:v>ASSET_REQUIRED</x:v>
      </x:c>
      <x:c r="C6" s="100" t="str">
        <x:v>PRIUS 歴代統一ライブラリ</x:v>
      </x:c>
      <x:c r="D6" s="100" t="str">
        <x:v>5枚（10／20／30／50／60系）</x:v>
      </x:c>
      <x:c r="E6" s="100" t="str">
        <x:v>プリウス歴代／30・50・60系違い／歴代見分け方</x:v>
      </x:c>
      <x:c r="F6" s="100" t="str">
        <x:v>需要40+38+32・GSC 0</x:v>
      </x:c>
      <x:c r="G6" s="100" t="str">
        <x:v>非常に高い</x:v>
      </x:c>
      <x:c r="H6" s="100" t="str">
        <x:v>PRIUS本体、Timeline、Compare、各世代見分け方、50系前後期、将来比較</x:v>
      </x:c>
      <x:c r="I6" s="100" t="str">
        <x:v>★★★★★</x:v>
      </x:c>
      <x:c r="J6" s="100" t="str">
        <x:v>8</x:v>
      </x:c>
      <x:c r="K6" s="100" t="str">
        <x:v>大</x:v>
      </x:c>
      <x:c r="L6" s="100" t="str">
        <x:v>1997・2003・2009・2015・2023の国内5ドア標準車。全世代で同一のブラック系純正色が公式確認できる場合のみ採用、未確認なら制作停止。左前45°・中望遠・同一車体占有率・黒背景・同一床・同一上前左キーライト。60系は低いモノフォルム、50系は縦長テールへ続く強い造形を正確に。既存基準: ALPHARD/VOXYの世代比較画像</x:v>
      </x:c>
      <x:c r="M6" s="100" t="str">
        <x:v>PRIUS車種本体、Timeline、Compare、歴代・30/50/60・見分け方を同時に実装</x:v>
      </x:c>
      <x:c r="N6" s="101" t="str">
        <x:v>トヨタ公式の歴代リリース／各世代型式を制作前に照合</x:v>
      </x:c>
    </x:row>
    <x:row r="7" ht="76" customHeight="1">
      <x:c r="A7" s="143" t="n">
        <x:v>3</x:v>
      </x:c>
      <x:c r="B7" s="264" t="str">
        <x:v>ASSET_READY（Custom用）</x:v>
      </x:c>
      <x:c r="C7" s="264" t="str">
        <x:v>N-BOX 2代目 前期／後期</x:v>
      </x:c>
      <x:c r="D7" s="264" t="str">
        <x:v>完成：Custom 前期1・後期1（標準車は将来Asset）</x:v>
      </x:c>
      <x:c r="E7" s="264" t="str">
        <x:v>N-BOX Custom 前期後期／JF3 前期後期／JF4 前期後期／マイナーチェンジ／中古車判別（Custom基準）</x:v>
      </x:c>
      <x:c r="F7" s="264" t="str">
        <x:v>需要25・GSC 1（歴代近接）</x:v>
      </x:c>
      <x:c r="G7" s="264" t="str">
        <x:v>高い</x:v>
      </x:c>
      <x:c r="H7" s="264" t="str">
        <x:v>公開: /n-box-jf3-zenki-kouki.html、N-BOX本体の深掘り導線、Compare、Timeline、中古車判別</x:v>
      </x:c>
      <x:c r="I7" s="264" t="str">
        <x:v>★★★★★</x:v>
      </x:c>
      <x:c r="J7" s="264" t="str">
        <x:v>6</x:v>
      </x:c>
      <x:c r="K7" s="264" t="str">
        <x:v>中</x:v>
      </x:c>
      <x:c r="L7" s="264" t="str">
        <x:v>採用仕様: N-BOX Custom・FF・自然吸気。前期 2017.09〜2020.12.24、後期 2020.12.25〜2023.10.05。Crystal Black Pearl。Asset: jf3-custom-pre-facelift-v1.png / jf3-custom-post-facelift-v1.png。比較は同一カメラ・同一スケール・黒スタジオ。Honda公式2017発売・2020MMC・2023 3代目発売資料で照合。</x:v>
      </x:c>
      <x:c r="M7" s="264" t="str">
        <x:v>前後期詳細ページと本体導線を公開済み。Customのグリル／ナンバー位置、JF3=FF・JF4=4WD、年式境界、型式照合を実装。標準N-BOX用の対画像は別Assetとして残す。</x:v>
      </x:c>
      <x:c r="N7" s="265" t="str">
        <x:v>https://global.honda/jp/news/2017/4170831-n-box.html｜https://global.honda/jp/news/2020/4201224-n-box.html｜https://global.honda/jp/news/2023/4231005-n-box.html</x:v>
      </x:c>
    </x:row>
    <x:row r="8" ht="76" customHeight="1">
      <x:c r="A8" s="143" t="n">
        <x:v>4</x:v>
      </x:c>
      <x:c r="B8" s="100" t="str">
        <x:v>ASSET_REQUIRED</x:v>
      </x:c>
      <x:c r="C8" s="100" t="str">
        <x:v>SERENA C27 前期／後期</x:v>
      </x:c>
      <x:c r="D8" s="100" t="str">
        <x:v>2枚（前期1・後期1）</x:v>
      </x:c>
      <x:c r="E8" s="100" t="str">
        <x:v>SERENA C27前後期／C27中古車見分け方</x:v>
      </x:c>
      <x:c r="F8" s="100" t="str">
        <x:v>需要27・GSC serena 10</x:v>
      </x:c>
      <x:c r="G8" s="100" t="str">
        <x:v>高い</x:v>
      </x:c>
      <x:c r="H8" s="100" t="str">
        <x:v>SERENA本体、C27詳細、Compare、Timeline、NOAH/STEPWGN比較</x:v>
      </x:c>
      <x:c r="I8" s="100" t="str">
        <x:v>★★★★☆</x:v>
      </x:c>
      <x:c r="J8" s="100" t="str">
        <x:v>5</x:v>
      </x:c>
      <x:c r="K8" s="100" t="str">
        <x:v>中</x:v>
      </x:c>
      <x:c r="L8" s="100" t="str">
        <x:v>2016〜2019前期／2019〜2022後期、標準X・ホワイトパール、GC27（2WD）を基準。左前45°・中望遠・黒背景・同一床。Vモーションのグリル、ヘッドライト、バンパー開口部の年次差を正確に。既存基準: /images/cars/serena/gen5-2016.webp</x:v>
      </x:c>
      <x:c r="M8" s="100" t="str">
        <x:v>本体C27概要、独立詳細、Compare、Timeline、購入時の年式照合、SEOメタ</x:v>
      </x:c>
      <x:c r="N8" s="101" t="str">
        <x:v>日産のC27発売・2019年改良資料を制作前に照合</x:v>
      </x:c>
    </x:row>
    <x:row r="9" ht="76" customHeight="1">
      <x:c r="A9" s="143" t="n">
        <x:v>5</x:v>
      </x:c>
      <x:c r="B9" s="100" t="str">
        <x:v>ASSET_REQUIRED</x:v>
      </x:c>
      <x:c r="C9" s="100" t="str">
        <x:v>HARRIER 歴代統一ライブラリ</x:v>
      </x:c>
      <x:c r="D9" s="100" t="str">
        <x:v>4枚（10／30／60／80系）</x:v>
      </x:c>
      <x:c r="E9" s="100" t="str">
        <x:v>ハリアー歴代／60・80系違い／見分け方</x:v>
      </x:c>
      <x:c r="F9" s="100" t="str">
        <x:v>需要38+33+29・GSC 0</x:v>
      </x:c>
      <x:c r="G9" s="100" t="str">
        <x:v>非常に高い</x:v>
      </x:c>
      <x:c r="H9" s="100" t="str">
        <x:v>HARRIER本体、Timeline、Compare、60系前後期、将来SUV比較</x:v>
      </x:c>
      <x:c r="I9" s="100" t="str">
        <x:v>★★★★★</x:v>
      </x:c>
      <x:c r="J9" s="100" t="str">
        <x:v>7</x:v>
      </x:c>
      <x:c r="K9" s="100" t="str">
        <x:v>大</x:v>
      </x:c>
      <x:c r="L9" s="100" t="str">
        <x:v>1997・2003・2013・2020の国内標準車。各世代同一のブラック系純正色を公式確認した上で統一。左前45°・中望遠・黒背景・同一床。10系の高級SUVサルーンらしい直立感、60系の流麗な面、80系のクーペフォルムを正確に。</x:v>
      </x:c>
      <x:c r="M9" s="100" t="str">
        <x:v>HARRIER本体、Timeline、Compare、歴代／60・80／見分け方を実装</x:v>
      </x:c>
      <x:c r="N9" s="101" t="str">
        <x:v>トヨタ公式1997・2003・2013・2020発表を制作前に照合</x:v>
      </x:c>
    </x:row>
    <x:row r="10" ht="76" customHeight="1">
      <x:c r="A10" s="143" t="n">
        <x:v>6</x:v>
      </x:c>
      <x:c r="B10" s="100" t="str">
        <x:v>ASSET_REQUIRED</x:v>
      </x:c>
      <x:c r="C10" s="100" t="str">
        <x:v>PRIUS 50系 前期／後期</x:v>
      </x:c>
      <x:c r="D10" s="100" t="str">
        <x:v>2枚（前期1・後期1）</x:v>
      </x:c>
      <x:c r="E10" s="100" t="str">
        <x:v>プリウス50系前後期／中古車見分け方</x:v>
      </x:c>
      <x:c r="F10" s="100" t="str">
        <x:v>需要30・GSC 0</x:v>
      </x:c>
      <x:c r="G10" s="100" t="str">
        <x:v>高い</x:v>
      </x:c>
      <x:c r="H10" s="100" t="str">
        <x:v>PRIUS本体、50系詳細、Compare、Timeline、購入ガイド</x:v>
      </x:c>
      <x:c r="I10" s="100" t="str">
        <x:v>★★★★☆</x:v>
      </x:c>
      <x:c r="J10" s="100" t="str">
        <x:v>5</x:v>
      </x:c>
      <x:c r="K10" s="100" t="str">
        <x:v>中</x:v>
      </x:c>
      <x:c r="L10" s="100" t="str">
        <x:v>2015〜2018前期／2018〜2023後期、S・アティチュードブラックマイカ、ZVW50（2WD）を基準。歴代ライブラリと同じカメラ条件。後期のヘッドランプ／バンパー／テールの意匠差を正確に。</x:v>
      </x:c>
      <x:c r="M10" s="100" t="str">
        <x:v>PRIUS本体の50系概要、独立詳細、Compare、型式・年式表、内部リンク</x:v>
      </x:c>
      <x:c r="N10" s="101" t="str">
        <x:v>トヨタ2015発売・2018年改良資料を制作前に照合</x:v>
      </x:c>
    </x:row>
    <x:row r="11" ht="76" customHeight="1">
      <x:c r="A11" s="143" t="n">
        <x:v>7</x:v>
      </x:c>
      <x:c r="B11" s="100" t="str">
        <x:v>ASSET_REQUIRED</x:v>
      </x:c>
      <x:c r="C11" s="100" t="str">
        <x:v>TANTO 歴代統一ライブラリ</x:v>
      </x:c>
      <x:c r="D11" s="100" t="str">
        <x:v>4枚（初代〜4代目）</x:v>
      </x:c>
      <x:c r="E11" s="100" t="str">
        <x:v>タント歴代／見分け方</x:v>
      </x:c>
      <x:c r="F11" s="100" t="str">
        <x:v>需要34+27・GSC 0</x:v>
      </x:c>
      <x:c r="G11" s="100" t="str">
        <x:v>高い</x:v>
      </x:c>
      <x:c r="H11" s="100" t="str">
        <x:v>TANTO本体、Timeline、Compare、世代見分け方、軽比較</x:v>
      </x:c>
      <x:c r="I11" s="100" t="str">
        <x:v>★★★★★</x:v>
      </x:c>
      <x:c r="J11" s="100" t="str">
        <x:v>6</x:v>
      </x:c>
      <x:c r="K11" s="100" t="str">
        <x:v>中</x:v>
      </x:c>
      <x:c r="L11" s="100" t="str">
        <x:v>2003・2007・2013・2019の標準TANTO。ブラック系純正色を全世代で公式確認して統一。左前45°・中望遠・黒背景・同一床。初代から4代目のスーパーハイト化とミラクルオープンドア側のボディ構成を正確に。</x:v>
      </x:c>
      <x:c r="M11" s="100" t="str">
        <x:v>TANTO本体、Timeline、Compare、歴代・見分け方を実装</x:v>
      </x:c>
      <x:c r="N11" s="101" t="str">
        <x:v>ダイハツ公式の各世代発表・型式を制作前に照合</x:v>
      </x:c>
    </x:row>
    <x:row r="12" ht="76" customHeight="1">
      <x:c r="A12" s="143" t="n">
        <x:v>8</x:v>
      </x:c>
      <x:c r="B12" s="100" t="str">
        <x:v>ASSET_REQUIRED</x:v>
      </x:c>
      <x:c r="C12" s="100" t="str">
        <x:v>STEPWGN RP 前期／後期</x:v>
      </x:c>
      <x:c r="D12" s="100" t="str">
        <x:v>2枚（前期1・後期1）</x:v>
      </x:c>
      <x:c r="E12" s="100" t="str">
        <x:v>ステップワゴンRP前後期／中古車見分け方</x:v>
      </x:c>
      <x:c r="F12" s="100" t="str">
        <x:v>需要24・GSC 0</x:v>
      </x:c>
      <x:c r="G12" s="100" t="str">
        <x:v>高い</x:v>
      </x:c>
      <x:c r="H12" s="100" t="str">
        <x:v>STEPWGN本体、RP詳細、Compare、Timeline、競合比較</x:v>
      </x:c>
      <x:c r="I12" s="100" t="str">
        <x:v>★★★★★</x:v>
      </x:c>
      <x:c r="J12" s="100" t="str">
        <x:v>6</x:v>
      </x:c>
      <x:c r="K12" s="100" t="str">
        <x:v>中</x:v>
      </x:c>
      <x:c r="L12" s="100" t="str">
        <x:v>2015〜2017前期／2017〜2022後期、SPADA、ブラック、RP3（2WD）を基準。左前45°・中望遠・黒背景・同一床。後期SPADAのグリル／ヘッドライト／バンパーの顔つきを正確に。既存基準: /images/cars/stepwgn/gen5-2015.webp</x:v>
      </x:c>
      <x:c r="M12" s="100" t="str">
        <x:v>本体RP概要、詳細Compare、Timeline、年式・型式表、内部リンク</x:v>
      </x:c>
      <x:c r="N12" s="101" t="str">
        <x:v>Honda公式2015発売・2017年改良資料を制作前に照合</x:v>
      </x:c>
    </x:row>
    <x:row r="13" ht="76" customHeight="1">
      <x:c r="A13" s="143" t="n">
        <x:v>9</x:v>
      </x:c>
      <x:c r="B13" s="100" t="str">
        <x:v>ASSET_REQUIRED</x:v>
      </x:c>
      <x:c r="C13" s="100" t="str">
        <x:v>FREED 2代目 前期／後期</x:v>
      </x:c>
      <x:c r="D13" s="100" t="str">
        <x:v>2枚（前期1・後期1）</x:v>
      </x:c>
      <x:c r="E13" s="100" t="str">
        <x:v>フリード中古車見分け方／2代目詳細</x:v>
      </x:c>
      <x:c r="F13" s="100" t="str">
        <x:v>需要27（近接）・GSC 0</x:v>
      </x:c>
      <x:c r="G13" s="100" t="str">
        <x:v>高い</x:v>
      </x:c>
      <x:c r="H13" s="100" t="str">
        <x:v>FREED本体、2代目詳細、Compare、Timeline、SIENTA比較</x:v>
      </x:c>
      <x:c r="I13" s="100" t="str">
        <x:v>★★★★☆</x:v>
      </x:c>
      <x:c r="J13" s="100" t="str">
        <x:v>5</x:v>
      </x:c>
      <x:c r="K13" s="100" t="str">
        <x:v>中</x:v>
      </x:c>
      <x:c r="L13" s="100" t="str">
        <x:v>2016〜2019前期／2019〜2024後期、標準FREED、ホワイトパール、GB5（2WD）を基準。左前45°・中望遠・黒背景・同一床。後期のグリル／ライト／バンパーの差を正確に。既存基準: /images/cars/freed/gen2-2016.webp</x:v>
      </x:c>
      <x:c r="M13" s="100" t="str">
        <x:v>本体2代目概要、詳細Compare、Timeline、購入時の年式照合、内部リンク</x:v>
      </x:c>
      <x:c r="N13" s="101" t="str">
        <x:v>Honda公式2016発売・2019年改良資料を制作前に照合</x:v>
      </x:c>
    </x:row>
    <x:row r="14" ht="76" customHeight="1">
      <x:c r="A14" s="144" t="n">
        <x:v>10</x:v>
      </x:c>
      <x:c r="B14" s="103" t="str">
        <x:v>ASSET_REQUIRED</x:v>
      </x:c>
      <x:c r="C14" s="103" t="str">
        <x:v>LAND CRUISER 300／250 比較セット</x:v>
      </x:c>
      <x:c r="D14" s="103" t="str">
        <x:v>2枚（300 1・250 1）</x:v>
      </x:c>
      <x:c r="E14" s="103" t="str">
        <x:v>ランドクルーザー300・250違い</x:v>
      </x:c>
      <x:c r="F14" s="103" t="str">
        <x:v>需要30・GSC 0</x:v>
      </x:c>
      <x:c r="G14" s="103" t="str">
        <x:v>高い</x:v>
      </x:c>
      <x:c r="H14" s="103" t="str">
        <x:v>兄弟車比較、Timeline、Compare、購入判断</x:v>
      </x:c>
      <x:c r="I14" s="103" t="str">
        <x:v>★★★★☆</x:v>
      </x:c>
      <x:c r="J14" s="103" t="str">
        <x:v>4</x:v>
      </x:c>
      <x:c r="K14" s="103" t="str">
        <x:v>中</x:v>
      </x:c>
      <x:c r="L14" s="103" t="str">
        <x:v>LAND CRUISER 300: 2021〜、ZX／ブラック。LAND CRUISER 250: 2024〜、ZX／ブラック。左前45°・中望遠・黒背景・同一床・同一車体占有率。300の大型横基調フロントと250の角張ったクラシック系意匠を正確に。</x:v>
      </x:c>
      <x:c r="M14" s="103" t="str">
        <x:v>独立比較ページ、Compare、型式・年式表、両車種本体からの内部リンク、SEOメタ</x:v>
      </x:c>
      <x:c r="N14" s="104" t="str">
        <x:v>トヨタ公式300・250発売資料を制作前に照合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52" hidden="0" customWidth="1"/>
    <x:col min="9" max="9" width="52" hidden="0" customWidth="1"/>
    <x:col min="10" max="10" width="28" hidden="0" customWidth="1"/>
  </x:cols>
  <x:sheetData>
    <x:row r="1">
      <x:c r="A1" s="268" t="str">
        <x:v>公開日</x:v>
      </x:c>
      <x:c r="B1" s="268" t="str">
        <x:v>検索意図</x:v>
      </x:c>
      <x:c r="C1" s="268" t="str">
        <x:v>A/B/C判定</x:v>
      </x:c>
      <x:c r="D1" s="268" t="str">
        <x:v>実装URL</x:v>
      </x:c>
      <x:c r="E1" s="268" t="str">
        <x:v>Asset Status</x:v>
      </x:c>
      <x:c r="F1" s="268" t="str">
        <x:v>前期Asset</x:v>
      </x:c>
      <x:c r="G1" s="268" t="str">
        <x:v>後期Asset</x:v>
      </x:c>
      <x:c r="H1" s="268" t="str">
        <x:v>採用仕様</x:v>
      </x:c>
      <x:c r="I1" s="268" t="str">
        <x:v>公式根拠</x:v>
      </x:c>
      <x:c r="J1" s="268" t="str">
        <x:v>本番公開状態</x:v>
      </x:c>
    </x:row>
    <x:row r="2" ht="66" customHeight="1">
      <x:c r="A2" s="35" t="str">
        <x:v>2026-08-15</x:v>
      </x:c>
      <x:c r="B2" s="35" t="str">
        <x:v>N-BOX 2代目 JF3/JF4 前期・後期（Custom基準）</x:v>
      </x:c>
      <x:c r="C2" s="35" t="str">
        <x:v>C：本体に導線＋独立深掘り</x:v>
      </x:c>
      <x:c r="D2" s="35" t="str">
        <x:v>/n-box-jf3-zenki-kouki.html</x:v>
      </x:c>
      <x:c r="E2" s="35" t="str">
        <x:v>ASSET_READY・公開済み</x:v>
      </x:c>
      <x:c r="F2" s="35" t="str">
        <x:v>/images/cars/n-box/jf3-custom-pre-facelift-v1.png</x:v>
      </x:c>
      <x:c r="G2" s="35" t="str">
        <x:v>/images/cars/n-box/jf3-custom-post-facelift-v1.png</x:v>
      </x:c>
      <x:c r="H2" s="35" t="str">
        <x:v>N-BOX Custom・FF・自然吸気・Crystal Black Pearl。前期2017.09〜2020.12.24、後期2020.12.25〜2023.10.05。JF3=FF、JF4=4WD。</x:v>
      </x:c>
      <x:c r="I2" s="35" t="str">
        <x:v>Honda 2017発売 https://global.honda/jp/news/2017/4170831-n-box.html｜Honda 2020 MMC https://global.honda/jp/news/2020/4201224-n-box.html｜Honda 2023 3代目 https://global.honda/jp/news/2023/4231005-n-box.html</x:v>
      </x:c>
      <x:c r="J2" s="35" t="str">
        <x:v>main push後にVercel本番確認</x:v>
      </x:c>
    </x:row>
  </x:sheetData>
  <x:pageMargins left="0.7" right="0.7" top="0.75" bottom="0.75" header="0.3" footer="0.3"/>
</x:worksheet>
</file>