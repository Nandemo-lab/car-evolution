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79b3fe358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b2c207cd3fd24dfe"/>
    <x:sheet xmlns:r="http://schemas.openxmlformats.org/officeDocument/2006/relationships" name="検索意図マスター" sheetId="2" r:id="R3cdeb359bfd04c26"/>
    <x:sheet xmlns:r="http://schemas.openxmlformats.org/officeDocument/2006/relationships" name="スコア基準" sheetId="3" r:id="R64ce4aec941e4b39"/>
    <x:sheet xmlns:r="http://schemas.openxmlformats.org/officeDocument/2006/relationships" name="GSC原データ" sheetId="4" r:id="R6b672668c643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</x:fills>
  <x:borders count="28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c196217e0409d" /><Relationship Type="http://schemas.openxmlformats.org/officeDocument/2006/relationships/theme" Target="/xl/theme/theme1.xml" Id="R1506487a8cb84d5e" /><Relationship Type="http://schemas.openxmlformats.org/officeDocument/2006/relationships/sharedStrings" Target="/xl/sharedStrings.xml" Id="R70aaf10e13004267" /><Relationship Type="http://schemas.openxmlformats.org/officeDocument/2006/relationships/worksheet" Target="/xl/worksheets/sheet1.xml" Id="Rb2c207cd3fd24dfe" /><Relationship Type="http://schemas.openxmlformats.org/officeDocument/2006/relationships/worksheet" Target="/xl/worksheets/sheet2.xml" Id="R3cdeb359bfd04c26" /><Relationship Type="http://schemas.openxmlformats.org/officeDocument/2006/relationships/worksheet" Target="/xl/worksheets/sheet3.xml" Id="R64ce4aec941e4b39" /><Relationship Type="http://schemas.openxmlformats.org/officeDocument/2006/relationships/worksheet" Target="/xl/worksheets/sheet4.xml" Id="R6b672668c6434a37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3c932a1a8943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302400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472500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</x:sheetData>
  <x:mergeCells>
    <x:mergeCell ref="A1:H1"/>
    <x:mergeCell ref="A2:H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Priority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</x:v>
      </x:c>
      <x:c r="S7" s="79" t="n">
        <x:v>68400</x:v>
      </x:c>
      <x:c r="T7" s="77" t="str">
        <x:v>公開済み・深掘り候補</x:v>
      </x:c>
      <x:c r="U7" s="81" t="n">
        <x:v>46255</x:v>
      </x:c>
      <x:c r="V7" s="66" t="str">
        <x:v>初期仮説。キーワード調査後に需要・競合点を更新。</x:v>
      </x:c>
      <x:c r="W7" s="66" t="str">
        <x:v>公開済み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196" t="n">
        <x:f>S7*X7</x:f>
        <x:v>342000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新規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未公開</x:v>
      </x:c>
      <x:c r="S8" s="79" t="n">
        <x:v>76500</x:v>
      </x:c>
      <x:c r="T8" s="77" t="str">
        <x:v>未着手</x:v>
      </x:c>
      <x:c r="U8" s="81" t="n">
        <x:v>46255</x:v>
      </x:c>
      <x:c r="V8" s="66" t="str">
        <x:v>初期仮説。キーワード調査後に需要・競合点を更新。</x:v>
      </x:c>
      <x:c r="W8" s="66" t="str">
        <x:v>要確認（7条件）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196" t="n">
        <x:f>S8*X8</x:f>
        <x:v>382500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新規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未公開</x:v>
      </x:c>
      <x:c r="S9" s="79" t="n">
        <x:v>68400</x:v>
      </x:c>
      <x:c r="T9" s="77" t="str">
        <x:v>未着手</x:v>
      </x:c>
      <x:c r="U9" s="81" t="n">
        <x:v>46255</x:v>
      </x:c>
      <x:c r="V9" s="66" t="str">
        <x:v>初期仮説。キーワード調査後に需要・競合点を更新。</x:v>
      </x:c>
      <x:c r="W9" s="66" t="str">
        <x:v>要確認（7条件）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196" t="n">
        <x:f>S9*X9</x:f>
        <x:v>342000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新規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未公開</x:v>
      </x:c>
      <x:c r="S10" s="79" t="n">
        <x:v>60000</x:v>
      </x:c>
      <x:c r="T10" s="77" t="str">
        <x:v>未着手</x:v>
      </x:c>
      <x:c r="U10" s="81" t="n">
        <x:v>46255</x:v>
      </x:c>
      <x:c r="V10" s="66" t="str">
        <x:v>初期仮説。キーワード調査後に需要・競合点を更新。</x:v>
      </x:c>
      <x:c r="W10" s="66" t="str">
        <x:v>要確認（7条件）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196" t="n">
        <x:f>S10*X10</x:f>
        <x:v>300000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https://carvista.jp/cars/alphard.html</x:v>
      </x:c>
      <x:c r="F11" s="77" t="str">
        <x:v>新規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未公開</x:v>
      </x:c>
      <x:c r="S11" s="79" t="n">
        <x:v>81000</x:v>
      </x:c>
      <x:c r="T11" s="77" t="str">
        <x:v>未着手</x:v>
      </x:c>
      <x:c r="U11" s="81" t="n">
        <x:v>46255</x:v>
      </x:c>
      <x:c r="V11" s="66" t="str">
        <x:v>初期仮説。キーワード調査後に需要・競合点を更新。</x:v>
      </x:c>
      <x:c r="W11" s="66" t="str">
        <x:v>要確認（7条件）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196" t="n">
        <x:f>S11*X11</x:f>
        <x:v>405000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https://carvista.jp/cars/alphard.html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既存あり・比較画像を転用可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未公開</x:v>
      </x:c>
      <x:c r="S12" s="79" t="n">
        <x:v>81600</x:v>
      </x:c>
      <x:c r="T12" s="77" t="str">
        <x:v>未着手</x:v>
      </x:c>
      <x:c r="U12" s="81" t="n">
        <x:v>46255</x:v>
      </x:c>
      <x:c r="V12" s="66" t="str">
        <x:v>初期仮説。キーワード調査後に需要・競合点を更新。</x:v>
      </x:c>
      <x:c r="W12" s="66" t="str">
        <x:v>要確認（7条件）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196" t="n">
        <x:f>S12*X12</x:f>
        <x:v>408000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196" t="n">
        <x:f>S13*X13</x:f>
        <x:v>196560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196" t="n">
        <x:f>S14*X14</x:f>
        <x:v>350000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</x:v>
      </x:c>
      <x:c r="S15" s="79" t="n">
        <x:v>68400</x:v>
      </x:c>
      <x:c r="T15" s="77" t="str">
        <x:v>公開済み・深掘り候補</x:v>
      </x:c>
      <x:c r="U15" s="81" t="n">
        <x:v>46255</x:v>
      </x:c>
      <x:c r="V15" s="66" t="str">
        <x:v>初期仮説。キーワード調査後に需要・競合点を更新。</x:v>
      </x:c>
      <x:c r="W15" s="66" t="str">
        <x:v>公開済み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196" t="n">
        <x:f>S15*X15</x:f>
        <x:v>342000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196" t="n">
        <x:f>S16*X16</x:f>
        <x:v>97240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</x:v>
      </x:c>
      <x:c r="S17" s="79" t="n">
        <x:v>78750</x:v>
      </x:c>
      <x:c r="T17" s="77" t="str">
        <x:v>公開済み・GSC観測</x:v>
      </x:c>
      <x:c r="U17" s="81" t="n">
        <x:v>46255</x:v>
      </x:c>
      <x:c r="V17" s="66" t="str">
        <x:v>GSC表示あり。順位を確認し、近接意図を優先検討。</x:v>
      </x:c>
      <x:c r="W17" s="66" t="str">
        <x:v>公開済み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196" t="n">
        <x:f>S17*X17</x:f>
        <x:v>393750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https://carvista.jp/voxy-70-80-90.html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既存あり・比較画像を転用可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公開済み・深掘り候補</x:v>
      </x:c>
      <x:c r="U18" s="81" t="n">
        <x:v>46255</x:v>
      </x:c>
      <x:c r="V18" s="66" t="str">
        <x:v>初期仮説。キーワード調査後に需要・競合点を更新。</x:v>
      </x:c>
      <x:c r="W18" s="66" t="str">
        <x:v>公開済み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196" t="n">
        <x:f>S18*X18</x:f>
        <x:v>408000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https://carvista.jp/voxy-70-80-90.html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既存あり・比較画像を転用可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公開済み・深掘り候補</x:v>
      </x:c>
      <x:c r="U19" s="81" t="n">
        <x:v>46255</x:v>
      </x:c>
      <x:c r="V19" s="66" t="str">
        <x:v>初期仮説。キーワード調査後に需要・競合点を更新。</x:v>
      </x:c>
      <x:c r="W19" s="66" t="str">
        <x:v>公開済み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196" t="n">
        <x:f>S19*X19</x:f>
        <x:v>405000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https://carvista.jp/voxy-70-80-90.html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既存あり・比較画像を転用可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公開済み・深掘り候補</x:v>
      </x:c>
      <x:c r="U20" s="81" t="n">
        <x:v>46255</x:v>
      </x:c>
      <x:c r="V20" s="66" t="str">
        <x:v>初期仮説。キーワード調査後に需要・競合点を更新。</x:v>
      </x:c>
      <x:c r="W20" s="66" t="str">
        <x:v>公開済み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196" t="n">
        <x:f>S20*X20</x:f>
        <x:v>399000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https://carvista.jp/voxy-70-80-90.html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既存あり・比較画像を転用可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公開済み（本番URL確認済み）</x:v>
      </x:c>
      <x:c r="U21" s="81" t="n">
        <x:v>46255</x:v>
      </x:c>
      <x:c r="V21" s="66" t="str">
        <x:v>年式・型式Timelineと中古車での確認順、関連ページ導線を追加。本番URL確認済み。</x:v>
      </x:c>
      <x:c r="W21" s="66" t="str">
        <x:v>公開済み・本番URL確認済み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196" t="n">
        <x:f>S21*X21</x:f>
        <x:v>459000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未着手</x:v>
      </x:c>
      <x:c r="U22" s="81" t="n">
        <x:v>46255</x:v>
      </x:c>
      <x:c r="V22" s="66" t="str">
        <x:v>初期仮説。キーワード調査後に需要・競合点を更新。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196" t="n">
        <x:f>S22*X22</x:f>
        <x:v>385700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196" t="n">
        <x:f>S23*X23</x:f>
        <x:v>192660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196" t="n">
        <x:f>S24*X24</x:f>
        <x:v>354200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196" t="n">
        <x:f>S25*X25</x:f>
        <x:v>405000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既存あり・比較画像を転用可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公開済み（本番URL確認済み）</x:v>
      </x:c>
      <x:c r="U26" s="81" t="n">
        <x:v>46255</x:v>
      </x:c>
      <x:c r="V26" s="66" t="str">
        <x:v>80系ESQUIREと90系VOXY・NOAHの年代差Timeline、比較範囲の注記、関連ページ導線を追加。</x:v>
      </x:c>
      <x:c r="W26" s="66" t="str">
        <x:v>公開済み・本番URL確認済み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196" t="n">
        <x:f>S26*X26</x:f>
        <x:v>420000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</x:v>
      </x:c>
      <x:c r="S27" s="79" t="n">
        <x:v>79800</x:v>
      </x:c>
      <x:c r="T27" s="77" t="str">
        <x:v>公開済み・GSC観測</x:v>
      </x:c>
      <x:c r="U27" s="81" t="n">
        <x:v>46255</x:v>
      </x:c>
      <x:c r="V27" s="66" t="str">
        <x:v>GSC表示あり。順位を確認し、近接意図を優先検討。</x:v>
      </x:c>
      <x:c r="W27" s="66" t="str">
        <x:v>公開済み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196" t="n">
        <x:f>S27*X27</x:f>
        <x:v>399000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196" t="n">
        <x:f>S28*X28</x:f>
        <x:v>382500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196" t="n">
        <x:f>S29*X29</x:f>
        <x:v>351000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196" t="n">
        <x:f>S30*X30</x:f>
        <x:v>405000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未着手</x:v>
      </x:c>
      <x:c r="U31" s="81" t="n">
        <x:v>46255</x:v>
      </x:c>
      <x:c r="V31" s="66" t="str">
        <x:v>初期仮説。キーワード調査後に需要・競合点を更新。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196" t="n">
        <x:f>S31*X31</x:f>
        <x:v>302400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196" t="n">
        <x:f>S32*X32</x:f>
        <x:v>178125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196" t="n">
        <x:f>S33*X33</x:f>
        <x:v>338800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196" t="n">
        <x:f>S34*X34</x:f>
        <x:v>405000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</x:v>
      </x:c>
      <x:c r="S35" s="79" t="n">
        <x:v>81000</x:v>
      </x:c>
      <x:c r="T35" s="77" t="str">
        <x:v>公開済み・GSC観測</x:v>
      </x:c>
      <x:c r="U35" s="81" t="n">
        <x:v>46255</x:v>
      </x:c>
      <x:c r="V35" s="66" t="str">
        <x:v>GSC表示あり。順位を確認し、近接意図を優先検討。</x:v>
      </x:c>
      <x:c r="W35" s="66" t="str">
        <x:v>公開済み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196" t="n">
        <x:f>S35*X35</x:f>
        <x:v>405000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https://carvista.jp/cars/n-box.html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既存あり・比較画像を転用可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未公開</x:v>
      </x:c>
      <x:c r="S36" s="79" t="n">
        <x:v>83700</x:v>
      </x:c>
      <x:c r="T36" s="77" t="str">
        <x:v>未着手</x:v>
      </x:c>
      <x:c r="U36" s="81" t="n">
        <x:v>46255</x:v>
      </x:c>
      <x:c r="V36" s="66" t="str">
        <x:v>初期仮説。キーワード調査後に需要・競合点を更新。</x:v>
      </x:c>
      <x:c r="W36" s="66" t="str">
        <x:v>要確認（7条件）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196" t="n">
        <x:f>S36*X36</x:f>
        <x:v>418500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196" t="n">
        <x:f>S37*X37</x:f>
        <x:v>405000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未着手</x:v>
      </x:c>
      <x:c r="U38" s="81" t="n">
        <x:v>46255</x:v>
      </x:c>
      <x:c r="V38" s="66" t="str">
        <x:v>初期仮説。キーワード調査後に需要・競合点を更新。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196" t="n">
        <x:f>S38*X38</x:f>
        <x:v>350000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196" t="n">
        <x:f>S39*X39</x:f>
        <x:v>165000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196" t="n">
        <x:f>S40*X40</x:f>
        <x:v>390000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196" t="n">
        <x:f>S41*X41</x:f>
        <x:v>405000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196" t="n">
        <x:f>S42*X42</x:f>
        <x:v>100320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196" t="n">
        <x:f>S43*X43</x:f>
        <x:v>326400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196" t="n">
        <x:f>S44*X44</x:f>
        <x:v>312000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196" t="n">
        <x:f>S45*X45</x:f>
        <x:v>260820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196" t="n">
        <x:f>S46*X46</x:f>
        <x:v>132000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196" t="n">
        <x:f>S47*X47</x:f>
        <x:v>302400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196" t="n">
        <x:f>S48*X48</x:f>
        <x:v>77440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196" t="n">
        <x:f>S49*X49</x:f>
        <x:v>326400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196" t="n">
        <x:f>S50*X50</x:f>
        <x:v>330600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196" t="n">
        <x:f>S51*X51</x:f>
        <x:v>324000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196" t="n">
        <x:f>S52*X52</x:f>
        <x:v>261360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196" t="n">
        <x:f>S53*X53</x:f>
        <x:v>138600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196" t="n">
        <x:f>S54*X54</x:f>
        <x:v>307800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196" t="n">
        <x:f>S55*X55</x:f>
        <x:v>316200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196" t="n">
        <x:f>S56*X56</x:f>
        <x:v>336600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196" t="n">
        <x:f>S57*X57</x:f>
        <x:v>324000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196" t="n">
        <x:f>S58*X58</x:f>
        <x:v>315000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196" t="n">
        <x:f>S59*X59</x:f>
        <x:v>249480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196" t="n">
        <x:f>S60*X60</x:f>
        <x:v>132000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196" t="n">
        <x:f>S61*X61</x:f>
        <x:v>312000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196" t="n">
        <x:f>S62*X62</x:f>
        <x:v>324000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196" t="n">
        <x:f>S63*X63</x:f>
        <x:v>326400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196" t="n">
        <x:f>S64*X64</x:f>
        <x:v>324000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196" t="n">
        <x:f>S65*X65</x:f>
        <x:v>261360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196" t="n">
        <x:f>S66*X66</x:f>
        <x:v>138600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196" t="n">
        <x:f>S67*X67</x:f>
        <x:v>77440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未着手</x:v>
      </x:c>
      <x:c r="U68" s="81" t="n">
        <x:v>46255</x:v>
      </x:c>
      <x:c r="V68" s="66" t="str">
        <x:v>初期仮説。キーワード調査後に需要・競合点を更新。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196" t="n">
        <x:f>S68*X68</x:f>
        <x:v>273600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未着手</x:v>
      </x:c>
      <x:c r="U69" s="81" t="n">
        <x:v>46255</x:v>
      </x:c>
      <x:c r="V69" s="66" t="str">
        <x:v>初期仮説。キーワード調査後に需要・競合点を更新。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196" t="n">
        <x:f>S69*X69</x:f>
        <x:v>316800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未着手</x:v>
      </x:c>
      <x:c r="U70" s="81" t="n">
        <x:v>46255</x:v>
      </x:c>
      <x:c r="V70" s="66" t="str">
        <x:v>初期仮説。キーワード調査後に需要・競合点を更新。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196" t="n">
        <x:f>S70*X70</x:f>
        <x:v>313200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196" t="n">
        <x:f>S71*X71</x:f>
        <x:v>287280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196" t="n">
        <x:f>S72*X72</x:f>
        <x:v>144000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未着手</x:v>
      </x:c>
      <x:c r="U73" s="81" t="n">
        <x:v>46255</x:v>
      </x:c>
      <x:c r="V73" s="66" t="str">
        <x:v>初期仮説。キーワード調査後に需要・競合点を更新。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196" t="n">
        <x:f>S73*X73</x:f>
        <x:v>300000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未着手</x:v>
      </x:c>
      <x:c r="U74" s="81" t="n">
        <x:v>46255</x:v>
      </x:c>
      <x:c r="V74" s="66" t="str">
        <x:v>初期仮説。キーワード調査後に需要・競合点を更新。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196" t="n">
        <x:f>S74*X74</x:f>
        <x:v>342000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未着手</x:v>
      </x:c>
      <x:c r="U75" s="81" t="n">
        <x:v>46255</x:v>
      </x:c>
      <x:c r="V75" s="66" t="str">
        <x:v>初期仮説。キーワード調査後に需要・競合点を更新。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196" t="n">
        <x:f>S75*X75</x:f>
        <x:v>384000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未着手</x:v>
      </x:c>
      <x:c r="U76" s="81" t="n">
        <x:v>46255</x:v>
      </x:c>
      <x:c r="V76" s="66" t="str">
        <x:v>初期仮説。キーワード調査後に需要・競合点を更新。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196" t="n">
        <x:f>S76*X76</x:f>
        <x:v>357000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196" t="n">
        <x:f>S77*X77</x:f>
        <x:v>182250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196" t="n">
        <x:f>S78*X78</x:f>
        <x:v>326400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196" t="n">
        <x:f>S79*X79</x:f>
        <x:v>312000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196" t="n">
        <x:f>S80*X80</x:f>
        <x:v>282240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196" t="n">
        <x:f>S81*X81</x:f>
        <x:v>138600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196" t="n">
        <x:f>S82*X82</x:f>
        <x:v>312000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196" t="n">
        <x:f>S83*X83</x:f>
        <x:v>324000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196" t="n">
        <x:f>S84*X84</x:f>
        <x:v>239400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196" t="n">
        <x:f>S85*X85</x:f>
        <x:v>217800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196" t="n">
        <x:f>S86*X86</x:f>
        <x:v>186300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196" t="n">
        <x:f>S87*X87</x:f>
        <x:v>93150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196" t="n">
        <x:f>S88*X88</x:f>
        <x:v>195615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196" t="n">
        <x:f>S89*X89</x:f>
        <x:v>226800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196" t="n">
        <x:f>S90*X90</x:f>
        <x:v>211680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196" t="n">
        <x:f>S91*X91</x:f>
        <x:v>226800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196" t="n">
        <x:f>S92*X92</x:f>
        <x:v>103500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196" t="n">
        <x:f>S93*X93</x:f>
        <x:v>162000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196" t="n">
        <x:f>S94*X94</x:f>
        <x:v>206550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196" t="n">
        <x:f>S95*X95</x:f>
        <x:v>194400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196" t="n">
        <x:f>S96*X96</x:f>
        <x:v>173250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196" t="n">
        <x:f>S97*X97</x:f>
        <x:v>194400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196" t="n">
        <x:f>S98*X98</x:f>
        <x:v>195615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196" t="n">
        <x:f>S99*X99</x:f>
        <x:v>233280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196" t="n">
        <x:f>S100*X100</x:f>
        <x:v>259200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</x:v>
      </x:c>
      <x:c r="S101" s="79" t="n">
        <x:v>81000</x:v>
      </x:c>
      <x:c r="T101" s="77" t="str">
        <x:v>公開済み・GSC観測</x:v>
      </x:c>
      <x:c r="U101" s="81" t="n">
        <x:v>46255</x:v>
      </x:c>
      <x:c r="V101" s="66" t="str">
        <x:v>GSC表示あり。順位を確認し、近接意図を優先検討。</x:v>
      </x:c>
      <x:c r="W101" s="66" t="str">
        <x:v>公開済み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196" t="n">
        <x:f>S101*X101</x:f>
        <x:v>324000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196" t="n">
        <x:f>S102*X102</x:f>
        <x:v>289800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196" t="n">
        <x:f>S103*X103</x:f>
        <x:v>131100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196" t="n">
        <x:f>S104*X104</x:f>
        <x:v>324000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196" t="n">
        <x:f>S105*X105</x:f>
        <x:v>289800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196" t="n">
        <x:f>S106*X106</x:f>
        <x:v>132000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https://carvista.jp/cars/alphard.html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制作済み：前期・後期統一比較画像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公開済み（本番URL確認済み）</x:v>
      </x:c>
      <x:c r="U107" s="82" t="n">
        <x:v>46255</x:v>
      </x:c>
      <x:c r="V107" s="71" t="str">
        <x:v>Compare・Timeline・関連リンクを実装。公式情報で事実確認し、本番URLを確認済み。</x:v>
      </x:c>
      <x:c r="W107" s="71" t="str">
        <x:v>公開済み・本番URL確認済み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197" t="n">
        <x:f>S107*X107</x:f>
        <x:v>472500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f03c932a1a8943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