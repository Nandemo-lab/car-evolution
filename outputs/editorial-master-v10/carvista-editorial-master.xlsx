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e2e84454f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b0c77c2f14c847f1"/>
    <x:sheet xmlns:r="http://schemas.openxmlformats.org/officeDocument/2006/relationships" name="検索意図マスター" sheetId="2" r:id="R5fffa5f1b57f42fe"/>
    <x:sheet xmlns:r="http://schemas.openxmlformats.org/officeDocument/2006/relationships" name="スコア基準" sheetId="3" r:id="R09cefdc295d4478b"/>
    <x:sheet xmlns:r="http://schemas.openxmlformats.org/officeDocument/2006/relationships" name="GSC原データ" sheetId="4" r:id="R7a03532d20ff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</x:fills>
  <x:borders count="28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7847918544d7d" /><Relationship Type="http://schemas.openxmlformats.org/officeDocument/2006/relationships/theme" Target="/xl/theme/theme1.xml" Id="R56839dec4b294689" /><Relationship Type="http://schemas.openxmlformats.org/officeDocument/2006/relationships/sharedStrings" Target="/xl/sharedStrings.xml" Id="Rbaed29e0e1d64dba" /><Relationship Type="http://schemas.openxmlformats.org/officeDocument/2006/relationships/worksheet" Target="/xl/worksheets/sheet1.xml" Id="Rb0c77c2f14c847f1" /><Relationship Type="http://schemas.openxmlformats.org/officeDocument/2006/relationships/worksheet" Target="/xl/worksheets/sheet2.xml" Id="R5fffa5f1b57f42fe" /><Relationship Type="http://schemas.openxmlformats.org/officeDocument/2006/relationships/worksheet" Target="/xl/worksheets/sheet3.xml" Id="R09cefdc295d4478b" /><Relationship Type="http://schemas.openxmlformats.org/officeDocument/2006/relationships/worksheet" Target="/xl/worksheets/sheet4.xml" Id="R7a03532d20ff4dac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c5275e2a241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</x:sheetData>
  <x:mergeCells>
    <x:mergeCell ref="A1:H1"/>
    <x:mergeCell ref="A2:H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</x:v>
      </x:c>
      <x:c r="S7" s="79" t="n">
        <x:v>68400</x:v>
      </x:c>
      <x:c r="T7" s="77" t="str">
        <x:v>公開済み・深掘り候補</x:v>
      </x:c>
      <x:c r="U7" s="81" t="n">
        <x:v>46255</x:v>
      </x:c>
      <x:c r="V7" s="66" t="str">
        <x:v>初期仮説。キーワード調査後に需要・競合点を更新。</x:v>
      </x:c>
      <x:c r="W7" s="66" t="str">
        <x:v>公開済み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新規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未公開</x:v>
      </x:c>
      <x:c r="S8" s="79" t="n">
        <x:v>76500</x:v>
      </x:c>
      <x:c r="T8" s="77" t="str">
        <x:v>未着手</x:v>
      </x:c>
      <x:c r="U8" s="81" t="n">
        <x:v>46255</x:v>
      </x:c>
      <x:c r="V8" s="66" t="str">
        <x:v>初期仮説。キーワード調査後に需要・競合点を更新。</x:v>
      </x:c>
      <x:c r="W8" s="66" t="str">
        <x:v>要確認（7条件）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新規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未公開</x:v>
      </x:c>
      <x:c r="S9" s="79" t="n">
        <x:v>68400</x:v>
      </x:c>
      <x:c r="T9" s="77" t="str">
        <x:v>未着手</x:v>
      </x:c>
      <x:c r="U9" s="81" t="n">
        <x:v>46255</x:v>
      </x:c>
      <x:c r="V9" s="66" t="str">
        <x:v>初期仮説。キーワード調査後に需要・競合点を更新。</x:v>
      </x:c>
      <x:c r="W9" s="66" t="str">
        <x:v>要確認（7条件）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新規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未公開</x:v>
      </x:c>
      <x:c r="S10" s="79" t="n">
        <x:v>60000</x:v>
      </x:c>
      <x:c r="T10" s="77" t="str">
        <x:v>未着手</x:v>
      </x:c>
      <x:c r="U10" s="81" t="n">
        <x:v>46255</x:v>
      </x:c>
      <x:c r="V10" s="66" t="str">
        <x:v>初期仮説。キーワード調査後に需要・競合点を更新。</x:v>
      </x:c>
      <x:c r="W10" s="66" t="str">
        <x:v>要確認（7条件）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https://carvista.jp/cars/alphard.html</x:v>
      </x:c>
      <x:c r="F11" s="77" t="str">
        <x:v>新規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未公開</x:v>
      </x:c>
      <x:c r="S11" s="79" t="n">
        <x:v>81000</x:v>
      </x:c>
      <x:c r="T11" s="77" t="str">
        <x:v>未着手</x:v>
      </x:c>
      <x:c r="U11" s="81" t="n">
        <x:v>46255</x:v>
      </x:c>
      <x:c r="V11" s="66" t="str">
        <x:v>初期仮説。キーワード調査後に需要・競合点を更新。</x:v>
      </x:c>
      <x:c r="W11" s="66" t="str">
        <x:v>要確認（7条件）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https://carvista.jp/alphard-history-identification.html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既存の4世代統一比較画像を再利用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公開済み</x:v>
      </x:c>
      <x:c r="S12" s="79" t="n">
        <x:v>81600</x:v>
      </x:c>
      <x:c r="T12" s="77" t="str">
        <x:v>公開済み（本番URL確認済み）</x:v>
      </x:c>
      <x:c r="U12" s="81" t="n">
        <x:v>46255</x:v>
      </x:c>
      <x:c r="V12" s="66" t="str">
        <x:v>4世代Compare、型式・年式Timeline、中古車確認、公式出典、内部リンクを実装。</x:v>
      </x:c>
      <x:c r="W12" s="66" t="str">
        <x:v>公開済み・本番URL確認済み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https://carvista.jp/voxy-70-80-90.html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既存あり・比較画像を転用可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公開済み・深掘り候補</x:v>
      </x:c>
      <x:c r="U18" s="81" t="n">
        <x:v>46255</x:v>
      </x:c>
      <x:c r="V18" s="66" t="str">
        <x:v>初期仮説。キーワード調査後に需要・競合点を更新。</x:v>
      </x:c>
      <x:c r="W18" s="66" t="str">
        <x:v>公開済み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https://carvista.jp/voxy-70-80-90.html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既存あり・比較画像を転用可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公開済み・深掘り候補</x:v>
      </x:c>
      <x:c r="U19" s="81" t="n">
        <x:v>46255</x:v>
      </x:c>
      <x:c r="V19" s="66" t="str">
        <x:v>初期仮説。キーワード調査後に需要・競合点を更新。</x:v>
      </x:c>
      <x:c r="W19" s="66" t="str">
        <x:v>公開済み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https://carvista.jp/voxy-70-80-90.html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既存あり・比較画像を転用可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公開済み・深掘り候補</x:v>
      </x:c>
      <x:c r="U20" s="81" t="n">
        <x:v>46255</x:v>
      </x:c>
      <x:c r="V20" s="66" t="str">
        <x:v>初期仮説。キーワード調査後に需要・競合点を更新。</x:v>
      </x:c>
      <x:c r="W20" s="66" t="str">
        <x:v>公開済み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https://carvista.jp/voxy-70-80-90.html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既存あり・比較画像を転用可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公開済み（本番URL確認済み）</x:v>
      </x:c>
      <x:c r="U21" s="81" t="n">
        <x:v>46255</x:v>
      </x:c>
      <x:c r="V21" s="66" t="str">
        <x:v>年式・型式Timelineと中古車での確認順、関連ページ導線を追加。本番URL確認済み。</x:v>
      </x:c>
      <x:c r="W21" s="66" t="str">
        <x:v>公開済み・本番URL確認済み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既存あり・比較画像を転用可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公開済み（本番URL確認済み）</x:v>
      </x:c>
      <x:c r="U26" s="81" t="n">
        <x:v>46255</x:v>
      </x:c>
      <x:c r="V26" s="66" t="str">
        <x:v>80系ESQUIREと90系VOXY・NOAHの年代差Timeline、比較範囲の注記、関連ページ導線を追加。</x:v>
      </x:c>
      <x:c r="W26" s="66" t="str">
        <x:v>公開済み・本番URL確認済み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https://carvista.jp/n-box-generations.html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既存の3世代統一比較画像を再利用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公開済み（本番URL確認済み）</x:v>
      </x:c>
      <x:c r="U36" s="81" t="n">
        <x:v>46255</x:v>
      </x:c>
      <x:c r="V36" s="66" t="str">
        <x:v>3世代Compare、型式・年式Timeline、中古車確認、公式出典、内部リンクを実装。</x:v>
      </x:c>
      <x:c r="W36" s="66" t="str">
        <x:v>公開済み・本番URL確認済み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https://carvista.jp/cars/alphard.html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制作済み：前期・後期統一比較画像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公開済み（本番URL確認済み）</x:v>
      </x:c>
      <x:c r="U107" s="82" t="n">
        <x:v>46255</x:v>
      </x:c>
      <x:c r="V107" s="71" t="str">
        <x:v>Compare・Timeline・関連リンクを実装。公式情報で事実確認し、本番URLを確認済み。</x:v>
      </x:c>
      <x:c r="W107" s="71" t="str">
        <x:v>公開済み・本番URL確認済み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b5cc5275e2a241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